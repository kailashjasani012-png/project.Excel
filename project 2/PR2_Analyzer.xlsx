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I MI DATA SCIENCE\Excel\"/>
    </mc:Choice>
  </mc:AlternateContent>
  <xr:revisionPtr revIDLastSave="0" documentId="13_ncr:1_{A7239678-E62F-4E54-BA34-8FFF0D28FD4F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Dashboard" sheetId="1" r:id="rId1"/>
    <sheet name="Sales Data" sheetId="2" r:id="rId2"/>
    <sheet name="Customer Summary" sheetId="3" r:id="rId3"/>
    <sheet name="WHAT-IF Analysis" sheetId="4" r:id="rId4"/>
    <sheet name="Regression Analysis" sheetId="5" r:id="rId5"/>
    <sheet name="Descriptive Statistics" sheetId="6" r:id="rId6"/>
    <sheet name="Monthly Growth" sheetId="7" r:id="rId7"/>
    <sheet name="High-Value Customers" sheetId="8" r:id="rId8"/>
    <sheet name="Pivot Summary" sheetId="9" r:id="rId9"/>
    <sheet name="Charts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9" l="1"/>
  <c r="D7" i="9"/>
  <c r="B7" i="9"/>
  <c r="B4" i="4"/>
  <c r="B3" i="4"/>
  <c r="B13" i="4" s="1"/>
  <c r="B7" i="3"/>
  <c r="M82" i="2"/>
  <c r="L82" i="2"/>
  <c r="J82" i="2"/>
  <c r="K82" i="2" s="1"/>
  <c r="M81" i="2"/>
  <c r="L81" i="2"/>
  <c r="J81" i="2"/>
  <c r="K81" i="2" s="1"/>
  <c r="M80" i="2"/>
  <c r="L80" i="2"/>
  <c r="J80" i="2"/>
  <c r="K80" i="2" s="1"/>
  <c r="M79" i="2"/>
  <c r="L79" i="2"/>
  <c r="J79" i="2"/>
  <c r="K79" i="2" s="1"/>
  <c r="M78" i="2"/>
  <c r="L78" i="2"/>
  <c r="J78" i="2"/>
  <c r="K78" i="2" s="1"/>
  <c r="M77" i="2"/>
  <c r="L77" i="2"/>
  <c r="J77" i="2"/>
  <c r="K77" i="2" s="1"/>
  <c r="M76" i="2"/>
  <c r="L76" i="2"/>
  <c r="J76" i="2"/>
  <c r="K76" i="2" s="1"/>
  <c r="M75" i="2"/>
  <c r="L75" i="2"/>
  <c r="J75" i="2"/>
  <c r="K75" i="2" s="1"/>
  <c r="M74" i="2"/>
  <c r="L74" i="2"/>
  <c r="J74" i="2"/>
  <c r="K74" i="2" s="1"/>
  <c r="M73" i="2"/>
  <c r="L73" i="2"/>
  <c r="J73" i="2"/>
  <c r="K73" i="2" s="1"/>
  <c r="M72" i="2"/>
  <c r="L72" i="2"/>
  <c r="J72" i="2"/>
  <c r="K72" i="2" s="1"/>
  <c r="M71" i="2"/>
  <c r="L71" i="2"/>
  <c r="J71" i="2"/>
  <c r="K71" i="2" s="1"/>
  <c r="M70" i="2"/>
  <c r="L70" i="2"/>
  <c r="J70" i="2"/>
  <c r="K70" i="2" s="1"/>
  <c r="M69" i="2"/>
  <c r="L69" i="2"/>
  <c r="J69" i="2"/>
  <c r="K69" i="2" s="1"/>
  <c r="M68" i="2"/>
  <c r="L68" i="2"/>
  <c r="J68" i="2"/>
  <c r="K68" i="2" s="1"/>
  <c r="M67" i="2"/>
  <c r="L67" i="2"/>
  <c r="J67" i="2"/>
  <c r="K67" i="2" s="1"/>
  <c r="M66" i="2"/>
  <c r="L66" i="2"/>
  <c r="J66" i="2"/>
  <c r="K66" i="2" s="1"/>
  <c r="M65" i="2"/>
  <c r="L65" i="2"/>
  <c r="J65" i="2"/>
  <c r="K65" i="2" s="1"/>
  <c r="M64" i="2"/>
  <c r="L64" i="2"/>
  <c r="J64" i="2"/>
  <c r="K64" i="2" s="1"/>
  <c r="M63" i="2"/>
  <c r="L63" i="2"/>
  <c r="J63" i="2"/>
  <c r="K63" i="2" s="1"/>
  <c r="M62" i="2"/>
  <c r="L62" i="2"/>
  <c r="J62" i="2"/>
  <c r="K62" i="2" s="1"/>
  <c r="M61" i="2"/>
  <c r="L61" i="2"/>
  <c r="J61" i="2"/>
  <c r="K61" i="2" s="1"/>
  <c r="M60" i="2"/>
  <c r="L60" i="2"/>
  <c r="J60" i="2"/>
  <c r="K60" i="2" s="1"/>
  <c r="M59" i="2"/>
  <c r="L59" i="2"/>
  <c r="J59" i="2"/>
  <c r="K59" i="2" s="1"/>
  <c r="M58" i="2"/>
  <c r="L58" i="2"/>
  <c r="J58" i="2"/>
  <c r="K58" i="2" s="1"/>
  <c r="M57" i="2"/>
  <c r="L57" i="2"/>
  <c r="J57" i="2"/>
  <c r="K57" i="2" s="1"/>
  <c r="M56" i="2"/>
  <c r="L56" i="2"/>
  <c r="J56" i="2"/>
  <c r="K56" i="2" s="1"/>
  <c r="M55" i="2"/>
  <c r="L55" i="2"/>
  <c r="J55" i="2"/>
  <c r="K55" i="2" s="1"/>
  <c r="M54" i="2"/>
  <c r="L54" i="2"/>
  <c r="J54" i="2"/>
  <c r="K54" i="2" s="1"/>
  <c r="M53" i="2"/>
  <c r="L53" i="2"/>
  <c r="J53" i="2"/>
  <c r="K53" i="2" s="1"/>
  <c r="M52" i="2"/>
  <c r="L52" i="2"/>
  <c r="J52" i="2"/>
  <c r="K52" i="2" s="1"/>
  <c r="M51" i="2"/>
  <c r="L51" i="2"/>
  <c r="J51" i="2"/>
  <c r="K51" i="2" s="1"/>
  <c r="M50" i="2"/>
  <c r="L50" i="2"/>
  <c r="J50" i="2"/>
  <c r="K50" i="2" s="1"/>
  <c r="M49" i="2"/>
  <c r="L49" i="2"/>
  <c r="J49" i="2"/>
  <c r="K49" i="2" s="1"/>
  <c r="M48" i="2"/>
  <c r="L48" i="2"/>
  <c r="J48" i="2"/>
  <c r="K48" i="2" s="1"/>
  <c r="M47" i="2"/>
  <c r="L47" i="2"/>
  <c r="J47" i="2"/>
  <c r="K47" i="2" s="1"/>
  <c r="M46" i="2"/>
  <c r="L46" i="2"/>
  <c r="J46" i="2"/>
  <c r="K46" i="2" s="1"/>
  <c r="M45" i="2"/>
  <c r="L45" i="2"/>
  <c r="J45" i="2"/>
  <c r="K45" i="2" s="1"/>
  <c r="M44" i="2"/>
  <c r="L44" i="2"/>
  <c r="J44" i="2"/>
  <c r="K44" i="2" s="1"/>
  <c r="M43" i="2"/>
  <c r="L43" i="2"/>
  <c r="J43" i="2"/>
  <c r="K43" i="2" s="1"/>
  <c r="M42" i="2"/>
  <c r="L42" i="2"/>
  <c r="J42" i="2"/>
  <c r="K42" i="2" s="1"/>
  <c r="M41" i="2"/>
  <c r="L41" i="2"/>
  <c r="J41" i="2"/>
  <c r="K41" i="2" s="1"/>
  <c r="C4" i="3" s="1"/>
  <c r="M40" i="2"/>
  <c r="L40" i="2"/>
  <c r="J40" i="2"/>
  <c r="K40" i="2" s="1"/>
  <c r="M39" i="2"/>
  <c r="L39" i="2"/>
  <c r="J39" i="2"/>
  <c r="K39" i="2" s="1"/>
  <c r="M38" i="2"/>
  <c r="L38" i="2"/>
  <c r="J38" i="2"/>
  <c r="K38" i="2" s="1"/>
  <c r="M37" i="2"/>
  <c r="L37" i="2"/>
  <c r="J37" i="2"/>
  <c r="K37" i="2" s="1"/>
  <c r="M36" i="2"/>
  <c r="L36" i="2"/>
  <c r="J36" i="2"/>
  <c r="K36" i="2" s="1"/>
  <c r="M35" i="2"/>
  <c r="L35" i="2"/>
  <c r="J35" i="2"/>
  <c r="K35" i="2" s="1"/>
  <c r="M34" i="2"/>
  <c r="L34" i="2"/>
  <c r="J34" i="2"/>
  <c r="K34" i="2" s="1"/>
  <c r="M33" i="2"/>
  <c r="L33" i="2"/>
  <c r="J33" i="2"/>
  <c r="K33" i="2" s="1"/>
  <c r="M32" i="2"/>
  <c r="L32" i="2"/>
  <c r="J32" i="2"/>
  <c r="K32" i="2" s="1"/>
  <c r="C10" i="3" s="1"/>
  <c r="M31" i="2"/>
  <c r="L31" i="2"/>
  <c r="J31" i="2"/>
  <c r="K31" i="2" s="1"/>
  <c r="M30" i="2"/>
  <c r="L30" i="2"/>
  <c r="J30" i="2"/>
  <c r="K30" i="2" s="1"/>
  <c r="M29" i="2"/>
  <c r="L29" i="2"/>
  <c r="J29" i="2"/>
  <c r="K29" i="2" s="1"/>
  <c r="M28" i="2"/>
  <c r="L28" i="2"/>
  <c r="J28" i="2"/>
  <c r="K28" i="2" s="1"/>
  <c r="M27" i="2"/>
  <c r="L27" i="2"/>
  <c r="J27" i="2"/>
  <c r="K27" i="2" s="1"/>
  <c r="M26" i="2"/>
  <c r="L26" i="2"/>
  <c r="J26" i="2"/>
  <c r="K26" i="2" s="1"/>
  <c r="M25" i="2"/>
  <c r="L25" i="2"/>
  <c r="J25" i="2"/>
  <c r="B17" i="3" s="1"/>
  <c r="M24" i="2"/>
  <c r="L24" i="2"/>
  <c r="J24" i="2"/>
  <c r="K24" i="2" s="1"/>
  <c r="M23" i="2"/>
  <c r="L23" i="2"/>
  <c r="J23" i="2"/>
  <c r="K23" i="2" s="1"/>
  <c r="M22" i="2"/>
  <c r="L22" i="2"/>
  <c r="J22" i="2"/>
  <c r="E6" i="9" s="1"/>
  <c r="M21" i="2"/>
  <c r="L21" i="2"/>
  <c r="J21" i="2"/>
  <c r="K21" i="2" s="1"/>
  <c r="C16" i="3" s="1"/>
  <c r="M20" i="2"/>
  <c r="L20" i="2"/>
  <c r="J20" i="2"/>
  <c r="K20" i="2" s="1"/>
  <c r="M19" i="2"/>
  <c r="L19" i="2"/>
  <c r="J19" i="2"/>
  <c r="K19" i="2" s="1"/>
  <c r="C18" i="3" s="1"/>
  <c r="M18" i="2"/>
  <c r="L18" i="2"/>
  <c r="J18" i="2"/>
  <c r="K18" i="2" s="1"/>
  <c r="C14" i="3" s="1"/>
  <c r="M17" i="2"/>
  <c r="L17" i="2"/>
  <c r="J17" i="2"/>
  <c r="B8" i="9" s="1"/>
  <c r="M16" i="2"/>
  <c r="L16" i="2"/>
  <c r="J16" i="2"/>
  <c r="K16" i="2" s="1"/>
  <c r="M15" i="2"/>
  <c r="L15" i="2"/>
  <c r="J15" i="2"/>
  <c r="E7" i="9" s="1"/>
  <c r="M14" i="2"/>
  <c r="L14" i="2"/>
  <c r="J14" i="2"/>
  <c r="D6" i="9" s="1"/>
  <c r="M13" i="2"/>
  <c r="L13" i="2"/>
  <c r="J13" i="2"/>
  <c r="K13" i="2" s="1"/>
  <c r="C11" i="3" s="1"/>
  <c r="M12" i="2"/>
  <c r="L12" i="2"/>
  <c r="J12" i="2"/>
  <c r="C5" i="9" s="1"/>
  <c r="M11" i="2"/>
  <c r="L11" i="2"/>
  <c r="J11" i="2"/>
  <c r="K11" i="2" s="1"/>
  <c r="M10" i="2"/>
  <c r="L10" i="2"/>
  <c r="J10" i="2"/>
  <c r="C7" i="9" s="1"/>
  <c r="M9" i="2"/>
  <c r="L9" i="2"/>
  <c r="J9" i="2"/>
  <c r="B9" i="3" s="1"/>
  <c r="M8" i="2"/>
  <c r="L8" i="2"/>
  <c r="J8" i="2"/>
  <c r="B6" i="9" s="1"/>
  <c r="F6" i="9" s="1"/>
  <c r="M7" i="2"/>
  <c r="L7" i="2"/>
  <c r="J7" i="2"/>
  <c r="B5" i="9" s="1"/>
  <c r="M6" i="2"/>
  <c r="L6" i="2"/>
  <c r="J6" i="2"/>
  <c r="E5" i="9" s="1"/>
  <c r="E9" i="9" s="1"/>
  <c r="M5" i="2"/>
  <c r="L5" i="2"/>
  <c r="J5" i="2"/>
  <c r="B5" i="3" s="1"/>
  <c r="M4" i="2"/>
  <c r="L4" i="2"/>
  <c r="J4" i="2"/>
  <c r="C6" i="9" s="1"/>
  <c r="M3" i="2"/>
  <c r="L3" i="2"/>
  <c r="J3" i="2"/>
  <c r="B13" i="3" s="1"/>
  <c r="M2" i="2"/>
  <c r="L2" i="2"/>
  <c r="B6" i="7" s="1"/>
  <c r="J2" i="2"/>
  <c r="C8" i="9" s="1"/>
  <c r="G4" i="1"/>
  <c r="A4" i="1"/>
  <c r="C9" i="9" l="1"/>
  <c r="F7" i="9"/>
  <c r="B9" i="9"/>
  <c r="B6" i="3"/>
  <c r="B10" i="3"/>
  <c r="B14" i="3"/>
  <c r="B18" i="3"/>
  <c r="B14" i="4"/>
  <c r="B9" i="5"/>
  <c r="E4" i="1"/>
  <c r="K2" i="2"/>
  <c r="K4" i="2"/>
  <c r="C8" i="3" s="1"/>
  <c r="K6" i="2"/>
  <c r="K8" i="2"/>
  <c r="C7" i="3" s="1"/>
  <c r="K10" i="2"/>
  <c r="K12" i="2"/>
  <c r="K14" i="2"/>
  <c r="K22" i="2"/>
  <c r="B15" i="4"/>
  <c r="B7" i="6"/>
  <c r="B11" i="6"/>
  <c r="B15" i="6"/>
  <c r="D8" i="9"/>
  <c r="F8" i="9" s="1"/>
  <c r="B11" i="3"/>
  <c r="B15" i="3"/>
  <c r="B16" i="4"/>
  <c r="B7" i="7"/>
  <c r="C7" i="7" s="1"/>
  <c r="D5" i="9"/>
  <c r="D9" i="9" s="1"/>
  <c r="B17" i="4"/>
  <c r="B4" i="6"/>
  <c r="B8" i="6"/>
  <c r="B12" i="6"/>
  <c r="B16" i="6"/>
  <c r="B4" i="3"/>
  <c r="B8" i="3"/>
  <c r="B12" i="3"/>
  <c r="B16" i="3"/>
  <c r="B7" i="4"/>
  <c r="B8" i="7"/>
  <c r="C8" i="7" s="1"/>
  <c r="K3" i="2"/>
  <c r="C13" i="3" s="1"/>
  <c r="K5" i="2"/>
  <c r="K7" i="2"/>
  <c r="C15" i="3" s="1"/>
  <c r="K9" i="2"/>
  <c r="C9" i="3" s="1"/>
  <c r="K15" i="2"/>
  <c r="K17" i="2"/>
  <c r="K25" i="2"/>
  <c r="C17" i="3" s="1"/>
  <c r="B11" i="4"/>
  <c r="B5" i="6"/>
  <c r="B9" i="6"/>
  <c r="B13" i="6"/>
  <c r="B4" i="7"/>
  <c r="B12" i="4"/>
  <c r="B5" i="7"/>
  <c r="B9" i="7"/>
  <c r="B6" i="6"/>
  <c r="B10" i="6"/>
  <c r="B14" i="6"/>
  <c r="C5" i="7" l="1"/>
  <c r="B8" i="5"/>
  <c r="C13" i="6"/>
  <c r="C9" i="6"/>
  <c r="C5" i="6"/>
  <c r="B6" i="5"/>
  <c r="B7" i="5" s="1"/>
  <c r="C12" i="3"/>
  <c r="C16" i="6"/>
  <c r="C12" i="6"/>
  <c r="C8" i="6"/>
  <c r="C4" i="6"/>
  <c r="B5" i="5"/>
  <c r="A10" i="1" s="1"/>
  <c r="C15" i="6"/>
  <c r="C11" i="6"/>
  <c r="C7" i="6"/>
  <c r="B14" i="5"/>
  <c r="B13" i="5"/>
  <c r="C14" i="6"/>
  <c r="C10" i="6"/>
  <c r="C6" i="6"/>
  <c r="C4" i="1"/>
  <c r="F5" i="9"/>
  <c r="A8" i="1"/>
  <c r="C9" i="8"/>
  <c r="B9" i="8" s="1"/>
  <c r="D9" i="8" s="1"/>
  <c r="C6" i="8"/>
  <c r="B6" i="8" s="1"/>
  <c r="D6" i="8" s="1"/>
  <c r="B17" i="8"/>
  <c r="B18" i="8" s="1"/>
  <c r="C11" i="8"/>
  <c r="B11" i="8" s="1"/>
  <c r="D11" i="8" s="1"/>
  <c r="C8" i="8"/>
  <c r="B8" i="8" s="1"/>
  <c r="D8" i="8" s="1"/>
  <c r="C13" i="8"/>
  <c r="B13" i="8" s="1"/>
  <c r="D13" i="8" s="1"/>
  <c r="C5" i="8"/>
  <c r="B5" i="8" s="1"/>
  <c r="D5" i="8" s="1"/>
  <c r="C10" i="8"/>
  <c r="B10" i="8" s="1"/>
  <c r="D10" i="8" s="1"/>
  <c r="C7" i="8"/>
  <c r="B7" i="8" s="1"/>
  <c r="D7" i="8" s="1"/>
  <c r="C12" i="8"/>
  <c r="B12" i="8" s="1"/>
  <c r="D12" i="8" s="1"/>
  <c r="C4" i="8"/>
  <c r="B4" i="8" s="1"/>
  <c r="C5" i="3"/>
  <c r="C6" i="7"/>
  <c r="C6" i="3"/>
  <c r="C9" i="7"/>
  <c r="A7" i="1" l="1"/>
  <c r="I4" i="1"/>
  <c r="D4" i="8"/>
  <c r="F9" i="9"/>
  <c r="A9" i="1"/>
</calcChain>
</file>

<file path=xl/sharedStrings.xml><?xml version="1.0" encoding="utf-8"?>
<sst xmlns="http://schemas.openxmlformats.org/spreadsheetml/2006/main" count="434" uniqueCount="171">
  <si>
    <t>PR.2 ANALYZER — SALES PERFORMANCE DASHBOARD</t>
  </si>
  <si>
    <t>Total Sales</t>
  </si>
  <si>
    <t>Total Profit</t>
  </si>
  <si>
    <t>Total Orders</t>
  </si>
  <si>
    <t>Average Discount</t>
  </si>
  <si>
    <t>Top Customer</t>
  </si>
  <si>
    <t>KEY INSIGHTS</t>
  </si>
  <si>
    <t>OrderID</t>
  </si>
  <si>
    <t>CustomerName</t>
  </si>
  <si>
    <t>Region</t>
  </si>
  <si>
    <t>Product</t>
  </si>
  <si>
    <t>OrderDate</t>
  </si>
  <si>
    <t>Quantity</t>
  </si>
  <si>
    <t>UnitPrice</t>
  </si>
  <si>
    <t>UnitCost</t>
  </si>
  <si>
    <t>Discount</t>
  </si>
  <si>
    <t>Sales</t>
  </si>
  <si>
    <t>Profit</t>
  </si>
  <si>
    <t>MonthLabel</t>
  </si>
  <si>
    <t>Timestamp</t>
  </si>
  <si>
    <t>Note: Timestamp column uses =NOW() and updates every time the workbook recalculates.</t>
  </si>
  <si>
    <t>Arjun Nair</t>
  </si>
  <si>
    <t>West</t>
  </si>
  <si>
    <t>Product B</t>
  </si>
  <si>
    <t>2026-01-15</t>
  </si>
  <si>
    <t>Divya Reddy</t>
  </si>
  <si>
    <t>North</t>
  </si>
  <si>
    <t>Product C</t>
  </si>
  <si>
    <t>2026-01-11</t>
  </si>
  <si>
    <t>Vikram Singh</t>
  </si>
  <si>
    <t>South</t>
  </si>
  <si>
    <t>2026-01-13</t>
  </si>
  <si>
    <t>Priya Patel</t>
  </si>
  <si>
    <t>2026-01-18</t>
  </si>
  <si>
    <t>Product D</t>
  </si>
  <si>
    <t>2026-01-07</t>
  </si>
  <si>
    <t>Pooja Joshi</t>
  </si>
  <si>
    <t>Product A</t>
  </si>
  <si>
    <t>2026-01-28</t>
  </si>
  <si>
    <t>Sneha Iyer</t>
  </si>
  <si>
    <t>2026-01-12</t>
  </si>
  <si>
    <t>Anjali Gupta</t>
  </si>
  <si>
    <t>2026-01-21</t>
  </si>
  <si>
    <t>Rohan Mehta</t>
  </si>
  <si>
    <t>East</t>
  </si>
  <si>
    <t>2026-01-22</t>
  </si>
  <si>
    <t>2026-01-09</t>
  </si>
  <si>
    <t>Neha Verma</t>
  </si>
  <si>
    <t>2026-02-05</t>
  </si>
  <si>
    <t>2026-02-08</t>
  </si>
  <si>
    <t>2026-02-21</t>
  </si>
  <si>
    <t>2026-02-09</t>
  </si>
  <si>
    <t>2026-02-25</t>
  </si>
  <si>
    <t>Rahul Kapoor</t>
  </si>
  <si>
    <t>2026-02-24</t>
  </si>
  <si>
    <t>Aditya Bose</t>
  </si>
  <si>
    <t>2026-02-28</t>
  </si>
  <si>
    <t>2026-02-12</t>
  </si>
  <si>
    <t>Sanjay Desai</t>
  </si>
  <si>
    <t>2026-02-20</t>
  </si>
  <si>
    <t>2026-02-02</t>
  </si>
  <si>
    <t>2026-02-17</t>
  </si>
  <si>
    <t>Meera Rao</t>
  </si>
  <si>
    <t>2026-03-13</t>
  </si>
  <si>
    <t>2026-03-08</t>
  </si>
  <si>
    <t>2026-03-03</t>
  </si>
  <si>
    <t>2026-03-17</t>
  </si>
  <si>
    <t>2026-03-19</t>
  </si>
  <si>
    <t>2026-03-04</t>
  </si>
  <si>
    <t>2026-03-02</t>
  </si>
  <si>
    <t>Karan Malhotra</t>
  </si>
  <si>
    <t>2026-03-18</t>
  </si>
  <si>
    <t>2026-03-15</t>
  </si>
  <si>
    <t>2026-03-25</t>
  </si>
  <si>
    <t>2026-03-14</t>
  </si>
  <si>
    <t>2026-03-24</t>
  </si>
  <si>
    <t>2026-04-28</t>
  </si>
  <si>
    <t>2026-04-20</t>
  </si>
  <si>
    <t>Amit Sharma</t>
  </si>
  <si>
    <t>2026-04-09</t>
  </si>
  <si>
    <t>2026-04-11</t>
  </si>
  <si>
    <t>2026-04-18</t>
  </si>
  <si>
    <t>2026-04-12</t>
  </si>
  <si>
    <t>2026-04-26</t>
  </si>
  <si>
    <t>2026-04-07</t>
  </si>
  <si>
    <t>2026-04-16</t>
  </si>
  <si>
    <t>2026-04-01</t>
  </si>
  <si>
    <t>2026-04-23</t>
  </si>
  <si>
    <t>2026-04-02</t>
  </si>
  <si>
    <t>2026-05-10</t>
  </si>
  <si>
    <t>2026-05-12</t>
  </si>
  <si>
    <t>2026-05-26</t>
  </si>
  <si>
    <t>2026-05-28</t>
  </si>
  <si>
    <t>2026-05-09</t>
  </si>
  <si>
    <t>2026-05-22</t>
  </si>
  <si>
    <t>2026-05-19</t>
  </si>
  <si>
    <t>2026-05-20</t>
  </si>
  <si>
    <t>2026-05-23</t>
  </si>
  <si>
    <t>2026-05-14</t>
  </si>
  <si>
    <t>2026-05-17</t>
  </si>
  <si>
    <t>2026-05-07</t>
  </si>
  <si>
    <t>2026-05-18</t>
  </si>
  <si>
    <t>2026-06-15</t>
  </si>
  <si>
    <t>2026-06-10</t>
  </si>
  <si>
    <t>2026-06-08</t>
  </si>
  <si>
    <t>2026-06-28</t>
  </si>
  <si>
    <t>2026-06-16</t>
  </si>
  <si>
    <t>2026-06-05</t>
  </si>
  <si>
    <t>2026-06-20</t>
  </si>
  <si>
    <t>2026-06-21</t>
  </si>
  <si>
    <t>2026-06-11</t>
  </si>
  <si>
    <t>2026-06-03</t>
  </si>
  <si>
    <t>2026-06-27</t>
  </si>
  <si>
    <t>2026-06-13</t>
  </si>
  <si>
    <t>2026-06-18</t>
  </si>
  <si>
    <t>TOP CUSTOMERS BY TOTAL PURCHASE</t>
  </si>
  <si>
    <t>Customer Name</t>
  </si>
  <si>
    <t>Total Purchase (Sales)</t>
  </si>
  <si>
    <t>WHAT-IF ANALYSIS: DISCOUNT IMPACT ON TOTAL PROFIT</t>
  </si>
  <si>
    <t>Total Quantity x Unit Price (Base Sales)</t>
  </si>
  <si>
    <t>Total Quantity x Unit Cost (Base Cost)</t>
  </si>
  <si>
    <t>Discount Lever (change this cell):</t>
  </si>
  <si>
    <t>Resulting Total Profit</t>
  </si>
  <si>
    <t>Sensitivity Table: Discount Rate vs Total Profit</t>
  </si>
  <si>
    <t>Discount %</t>
  </si>
  <si>
    <t>LINEAR REGRESSION: PROFIT vs SALES</t>
  </si>
  <si>
    <t>(Equivalent to Data Analysis Toolpak &gt; Regression, Y = Profit, X = Sales)</t>
  </si>
  <si>
    <t>Regression Statistics</t>
  </si>
  <si>
    <t>Multiple R</t>
  </si>
  <si>
    <t>R Square</t>
  </si>
  <si>
    <t>Adjusted R Square</t>
  </si>
  <si>
    <t>Standard Error</t>
  </si>
  <si>
    <t>Observations</t>
  </si>
  <si>
    <t>Coefficients</t>
  </si>
  <si>
    <t>Coefficient</t>
  </si>
  <si>
    <t>Intercept</t>
  </si>
  <si>
    <t>Sales (Slope)</t>
  </si>
  <si>
    <t>DESCRIPTIVE STATISTICS</t>
  </si>
  <si>
    <t>Measure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</si>
  <si>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</si>
  <si>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</si>
  <si>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</si>
  <si>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</si>
  <si>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</si>
  <si>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</si>
  <si>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</si>
  <si>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</si>
  <si>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</si>
  <si>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</si>
  <si>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</si>
  <si>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</si>
  <si>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MONTHLY SALES GROWTH</t>
  </si>
  <si>
    <t>Month</t>
  </si>
  <si>
    <t>Growth vs Prior Month</t>
  </si>
  <si>
    <t>Jan-26</t>
  </si>
  <si>
    <t>n/a (base month)</t>
  </si>
  <si>
    <t>Feb-26</t>
  </si>
  <si>
    <t>Mar-26</t>
  </si>
  <si>
    <t>Apr-26</t>
  </si>
  <si>
    <t>May-26</t>
  </si>
  <si>
    <t>Jun-26</t>
  </si>
  <si>
    <t>HIGH-VALUE CUSTOMERS (TOP 10 BY TOTAL PURCHASE)</t>
  </si>
  <si>
    <t>Rank</t>
  </si>
  <si>
    <t>Total Purchase</t>
  </si>
  <si>
    <t>Filter check: customers above overall average purchase</t>
  </si>
  <si>
    <t>Average Purchase per Customer</t>
  </si>
  <si>
    <t>Count of Customers Above Average</t>
  </si>
  <si>
    <t>PIVOT TABLE: TOTAL SALES BY REGION AND PRODUCT</t>
  </si>
  <si>
    <t>(Cross-tab summary built with SUMIFS — equivalent to Insert &gt; PivotTable, Rows=Region, Columns=Product, Values=Sum of Sales)</t>
  </si>
  <si>
    <t>Grand Total</t>
  </si>
  <si>
    <t>KPI VISUALIZATIONS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</si>
</sst>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"/>
    <numFmt numFmtId="165" formatCode="0.0%"/>
    <numFmt numFmtId="166" formatCode="dd\-mmm\-yy"/>
    <numFmt numFmtId="167" formatCode="\$#,##0.00"/>
    <numFmt numFmtId="168" formatCode="dd\-mmm\-yy\ hh:mm"/>
    <numFmt numFmtId="169" formatCode="0.0000"/>
    <numFmt numFmtId="170" formatCode="&quot;▲ &quot;0.0%;&quot;▼ -&quot;0.0%;&quot;– &quot;0.0%"/>
  </numFmts>
  <fonts count="12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1F4E78"/>
      <name val="Arial"/>
      <charset val="1"/>
    </font>
    <font>
      <b/>
      <sz val="12"/>
      <color rgb="FF1F4E78"/>
      <name val="Arial"/>
      <charset val="1"/>
    </font>
    <font>
      <sz val="11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b/>
      <sz val="16"/>
      <color rgb="FF1F4E78"/>
      <name val="Arial"/>
      <charset val="1"/>
    </font>
    <font>
      <b/>
      <sz val="11"/>
      <name val="Arial"/>
      <charset val="1"/>
    </font>
    <font>
      <i/>
      <sz val="11"/>
      <color rgb="FF80808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5" fillId="0" borderId="1" xfId="0" applyFont="1" applyBorder="1"/>
    <xf numFmtId="166" fontId="5" fillId="0" borderId="1" xfId="0" applyNumberFormat="1" applyFont="1" applyBorder="1"/>
    <xf numFmtId="0" fontId="8" fillId="0" borderId="1" xfId="0" applyFont="1" applyBorder="1"/>
    <xf numFmtId="167" fontId="8" fillId="0" borderId="1" xfId="0" applyNumberFormat="1" applyFont="1" applyBorder="1"/>
    <xf numFmtId="9" fontId="8" fillId="0" borderId="1" xfId="0" applyNumberFormat="1" applyFont="1" applyBorder="1"/>
    <xf numFmtId="167" fontId="0" fillId="0" borderId="1" xfId="0" applyNumberFormat="1" applyBorder="1"/>
    <xf numFmtId="0" fontId="0" fillId="0" borderId="1" xfId="0" applyBorder="1"/>
    <xf numFmtId="168" fontId="0" fillId="0" borderId="1" xfId="0" applyNumberFormat="1" applyBorder="1"/>
    <xf numFmtId="0" fontId="5" fillId="0" borderId="0" xfId="0" applyFont="1"/>
    <xf numFmtId="167" fontId="0" fillId="0" borderId="0" xfId="0" applyNumberFormat="1"/>
    <xf numFmtId="0" fontId="10" fillId="0" borderId="0" xfId="0" applyFont="1"/>
    <xf numFmtId="9" fontId="8" fillId="5" borderId="1" xfId="0" applyNumberFormat="1" applyFont="1" applyFill="1" applyBorder="1"/>
    <xf numFmtId="167" fontId="10" fillId="0" borderId="0" xfId="0" applyNumberFormat="1" applyFont="1"/>
    <xf numFmtId="0" fontId="4" fillId="0" borderId="0" xfId="0" applyFont="1"/>
    <xf numFmtId="9" fontId="5" fillId="0" borderId="1" xfId="0" applyNumberFormat="1" applyFont="1" applyBorder="1"/>
    <xf numFmtId="0" fontId="10" fillId="0" borderId="1" xfId="0" applyFont="1" applyBorder="1"/>
    <xf numFmtId="169" fontId="0" fillId="0" borderId="1" xfId="0" applyNumberFormat="1" applyBorder="1"/>
    <xf numFmtId="1" fontId="0" fillId="0" borderId="1" xfId="0" applyNumberFormat="1" applyBorder="1"/>
    <xf numFmtId="0" fontId="10" fillId="2" borderId="0" xfId="0" applyFont="1" applyFill="1"/>
    <xf numFmtId="0" fontId="7" fillId="2" borderId="0" xfId="0" applyFont="1" applyFill="1"/>
    <xf numFmtId="169" fontId="0" fillId="0" borderId="0" xfId="0" applyNumberFormat="1"/>
    <xf numFmtId="164" fontId="0" fillId="0" borderId="1" xfId="0" applyNumberFormat="1" applyBorder="1"/>
    <xf numFmtId="0" fontId="11" fillId="0" borderId="1" xfId="0" applyFont="1" applyBorder="1"/>
    <xf numFmtId="170" fontId="0" fillId="0" borderId="1" xfId="0" applyNumberFormat="1" applyBorder="1"/>
    <xf numFmtId="0" fontId="0" fillId="0" borderId="0" xfId="0"/>
    <xf numFmtId="164" fontId="10" fillId="0" borderId="1" xfId="0" applyNumberFormat="1" applyFont="1" applyBorder="1"/>
    <xf numFmtId="0" fontId="9" fillId="0" borderId="0" xfId="0" applyFont="1"/>
    <xf numFmtId="0" fontId="4" fillId="0" borderId="0" xfId="0" applyFont="1" applyBorder="1"/>
    <xf numFmtId="0" fontId="5" fillId="0" borderId="0" xfId="0" applyFont="1" applyBorder="1"/>
    <xf numFmtId="0" fontId="2" fillId="3" borderId="0" xfId="0" applyFont="1" applyFill="1" applyBorder="1" applyAlignment="1">
      <alignment horizontal="center"/>
    </xf>
    <xf numFmtId="164" fontId="3" fillId="4" borderId="0" xfId="0" applyNumberFormat="1" applyFont="1" applyFill="1" applyBorder="1" applyAlignment="1">
      <alignment horizontal="center"/>
    </xf>
    <xf numFmtId="1" fontId="3" fillId="4" borderId="0" xfId="0" applyNumberFormat="1" applyFont="1" applyFill="1" applyBorder="1" applyAlignment="1">
      <alignment horizontal="center"/>
    </xf>
    <xf numFmtId="165" fontId="3" fillId="4" borderId="0" xfId="0" applyNumberFormat="1" applyFont="1" applyFill="1" applyBorder="1" applyAlignment="1">
      <alignment horizontal="center"/>
    </xf>
    <xf numFmtId="49" fontId="3" fillId="4" borderId="0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9" fillId="0" borderId="0" xfId="0" applyFont="1" applyBorder="1"/>
    <xf numFmtId="0" fontId="6" fillId="0" borderId="0" xfId="0" applyFont="1" applyBorder="1"/>
  </cellXfs>
  <cellStyles count="1">
    <cellStyle name="Normal" xfId="0" builtinId="0"/>
  </cellStyles>
  <dxfs count="1"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BE4B48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8064A2"/>
      <rgbColor rgb="FF878787"/>
      <rgbColor rgb="FF003366"/>
      <rgbColor rgb="FF4F81BD"/>
      <rgbColor rgb="FF003300"/>
      <rgbColor rgb="FF333300"/>
      <rgbColor rgb="FF993300"/>
      <rgbColor rgb="FFC0504D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Summary'!$F$4</c:f>
              <c:strCache>
                <c:ptCount val="1"/>
                <c:pt idx="0">
                  <c:v>Grand Total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Summary'!$A$5:$A$8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'Pivot Summary'!$F$5:$F$8</c:f>
              <c:numCache>
                <c:formatCode>\$#,##0</c:formatCode>
                <c:ptCount val="4"/>
                <c:pt idx="0">
                  <c:v>42964.528000000006</c:v>
                </c:pt>
                <c:pt idx="1">
                  <c:v>53849.753499999999</c:v>
                </c:pt>
                <c:pt idx="2">
                  <c:v>13221.465999999999</c:v>
                </c:pt>
                <c:pt idx="3">
                  <c:v>10858.26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A-45AD-998C-EB1F09B40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315793"/>
        <c:axId val="46348779"/>
      </c:barChart>
      <c:catAx>
        <c:axId val="423157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348779"/>
        <c:crosses val="autoZero"/>
        <c:auto val="1"/>
        <c:lblAlgn val="ctr"/>
        <c:lblOffset val="100"/>
        <c:noMultiLvlLbl val="0"/>
      </c:catAx>
      <c:valAx>
        <c:axId val="463487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3157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Growth'!$B$3</c:f>
              <c:strCache>
                <c:ptCount val="1"/>
                <c:pt idx="0">
                  <c:v>Total Sales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Growth'!$A$4:$A$9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'Monthly Growth'!$B$4:$B$9</c:f>
              <c:numCache>
                <c:formatCode>\$#,##0</c:formatCode>
                <c:ptCount val="6"/>
                <c:pt idx="0">
                  <c:v>18167.371500000001</c:v>
                </c:pt>
                <c:pt idx="1">
                  <c:v>20616.168000000001</c:v>
                </c:pt>
                <c:pt idx="2">
                  <c:v>14586.573999999999</c:v>
                </c:pt>
                <c:pt idx="3">
                  <c:v>17507.097500000003</c:v>
                </c:pt>
                <c:pt idx="4">
                  <c:v>26702.180999999997</c:v>
                </c:pt>
                <c:pt idx="5">
                  <c:v>23314.615500000004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A9E-4252-89D1-187F3D0DE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180026"/>
        <c:axId val="43401754"/>
      </c:lineChart>
      <c:catAx>
        <c:axId val="41800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401754"/>
        <c:crosses val="autoZero"/>
        <c:auto val="1"/>
        <c:lblAlgn val="ctr"/>
        <c:lblOffset val="100"/>
        <c:noMultiLvlLbl val="0"/>
      </c:catAx>
      <c:valAx>
        <c:axId val="434017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00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Share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E525-4F84-A91F-4A2610EB063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25-4F84-A91F-4A2610EB06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Summary'!$B$4:$E$4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'Pivot Summary'!$B$9</c:f>
              <c:numCache>
                <c:formatCode>\$#,##0</c:formatCode>
                <c:ptCount val="1"/>
                <c:pt idx="0">
                  <c:v>29789.062999999995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25-4F84-A91F-4A2610EB0631}"/>
            </c:ext>
          </c:extLst>
        </c:ser>
        <c:ser>
          <c:idx val="1"/>
          <c:order val="1"/>
          <c:spPr>
            <a:solidFill>
              <a:srgbClr val="C0504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4-E525-4F84-A91F-4A2610EB063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525-4F84-A91F-4A2610EB06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Summary'!$B$4:$E$4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'Pivot Summary'!$C$9</c:f>
              <c:numCache>
                <c:formatCode>\$#,##0</c:formatCode>
                <c:ptCount val="1"/>
                <c:pt idx="0">
                  <c:v>44628.199499999995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25-4F84-A91F-4A2610EB0631}"/>
            </c:ext>
          </c:extLst>
        </c:ser>
        <c:ser>
          <c:idx val="2"/>
          <c:order val="2"/>
          <c:spPr>
            <a:solidFill>
              <a:srgbClr val="9BBB59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E525-4F84-A91F-4A2610EB063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525-4F84-A91F-4A2610EB06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Summary'!$B$4:$E$4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'Pivot Summary'!$D$9</c:f>
              <c:numCache>
                <c:formatCode>\$#,##0</c:formatCode>
                <c:ptCount val="1"/>
                <c:pt idx="0">
                  <c:v>12555.501999999999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25-4F84-A91F-4A2610EB0631}"/>
            </c:ext>
          </c:extLst>
        </c:ser>
        <c:ser>
          <c:idx val="3"/>
          <c:order val="3"/>
          <c:spPr>
            <a:solidFill>
              <a:srgbClr val="8064A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A-E525-4F84-A91F-4A2610EB063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525-4F84-A91F-4A2610EB06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Summary'!$B$4:$E$4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'Pivot Summary'!$E$9</c:f>
              <c:numCache>
                <c:formatCode>\$#,##0</c:formatCode>
                <c:ptCount val="1"/>
                <c:pt idx="0">
                  <c:v>33921.243000000002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525-4F84-A91F-4A2610EB0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130680</xdr:rowOff>
    </xdr:from>
    <xdr:to>
      <xdr:col>7</xdr:col>
      <xdr:colOff>73080</xdr:colOff>
      <xdr:row>18</xdr:row>
      <xdr:rowOff>131760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19</xdr:row>
      <xdr:rowOff>130680</xdr:rowOff>
    </xdr:from>
    <xdr:to>
      <xdr:col>7</xdr:col>
      <xdr:colOff>73080</xdr:colOff>
      <xdr:row>36</xdr:row>
      <xdr:rowOff>131760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37</xdr:row>
      <xdr:rowOff>130680</xdr:rowOff>
    </xdr:from>
    <xdr:to>
      <xdr:col>7</xdr:col>
      <xdr:colOff>73080</xdr:colOff>
      <xdr:row>54</xdr:row>
      <xdr:rowOff>131760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zoomScaleNormal="100" workbookViewId="0">
      <selection activeCell="A12" sqref="A12:XFD12"/>
    </sheetView>
  </sheetViews>
  <sheetFormatPr defaultColWidth="8.6640625" defaultRowHeight="14.4" x14ac:dyDescent="0.3"/>
  <cols>
    <col min="1" max="1" width="16" customWidth="1"/>
    <col min="2" max="2" width="12" customWidth="1"/>
    <col min="3" max="3" width="16" customWidth="1"/>
    <col min="4" max="4" width="12" customWidth="1"/>
    <col min="5" max="5" width="16" customWidth="1"/>
    <col min="6" max="6" width="12" customWidth="1"/>
    <col min="7" max="7" width="16" customWidth="1"/>
    <col min="8" max="8" width="12" customWidth="1"/>
  </cols>
  <sheetData>
    <row r="1" spans="1:10" ht="30" customHeight="1" x14ac:dyDescent="0.3">
      <c r="A1" s="37" t="s">
        <v>0</v>
      </c>
      <c r="B1" s="37"/>
      <c r="C1" s="37"/>
      <c r="D1" s="37"/>
      <c r="E1" s="37"/>
      <c r="F1" s="37"/>
      <c r="G1" s="37"/>
      <c r="H1" s="37"/>
    </row>
    <row r="3" spans="1:10" ht="18" customHeight="1" x14ac:dyDescent="0.3">
      <c r="A3" s="32" t="s">
        <v>1</v>
      </c>
      <c r="B3" s="32"/>
      <c r="C3" s="32" t="s">
        <v>2</v>
      </c>
      <c r="D3" s="32"/>
      <c r="E3" s="32" t="s">
        <v>3</v>
      </c>
      <c r="F3" s="32"/>
      <c r="G3" s="32" t="s">
        <v>4</v>
      </c>
      <c r="H3" s="32"/>
      <c r="I3" s="32" t="s">
        <v>5</v>
      </c>
      <c r="J3" s="32"/>
    </row>
    <row r="4" spans="1:10" ht="25.5" customHeight="1" x14ac:dyDescent="0.3">
      <c r="A4" s="33">
        <f>SUM('Sales Data'!$J$2:$J$82)</f>
        <v>120894.00750000002</v>
      </c>
      <c r="B4" s="33"/>
      <c r="C4" s="33">
        <f>SUM('Sales Data'!$K$2:$K$82)</f>
        <v>49077.962</v>
      </c>
      <c r="D4" s="33"/>
      <c r="E4" s="34">
        <f>COUNT('Sales Data'!$J$2:$J$82)</f>
        <v>81</v>
      </c>
      <c r="F4" s="34"/>
      <c r="G4" s="35">
        <f>AVERAGE('Sales Data'!$I$2:$I$82)</f>
        <v>9.6296296296296338E-2</v>
      </c>
      <c r="H4" s="35"/>
      <c r="I4" s="36" t="str">
        <f>'High-Value Customers'!B4</f>
        <v>Sanjay Desai</v>
      </c>
      <c r="J4" s="36"/>
    </row>
    <row r="6" spans="1:10" ht="15.6" x14ac:dyDescent="0.3">
      <c r="A6" s="30" t="s">
        <v>6</v>
      </c>
      <c r="B6" s="30"/>
      <c r="C6" s="30"/>
      <c r="D6" s="30"/>
      <c r="E6" s="30"/>
      <c r="F6" s="30"/>
      <c r="G6" s="30"/>
      <c r="H6" s="30"/>
    </row>
    <row r="7" spans="1:10" x14ac:dyDescent="0.3">
      <c r="A7" s="31" t="str">
        <f>"Top performing customer: "&amp;'High-Value Customers'!B4&amp;" with total purchases of "&amp;TEXT('High-Value Customers'!C4,"$#,##0")</f>
        <v>Top performing customer: Sanjay Desai with total purchases of $14,426</v>
      </c>
      <c r="B7" s="31"/>
      <c r="C7" s="31"/>
      <c r="D7" s="31"/>
      <c r="E7" s="31"/>
      <c r="F7" s="31"/>
      <c r="G7" s="31"/>
      <c r="H7" s="31"/>
    </row>
    <row r="8" spans="1:10" x14ac:dyDescent="0.3">
      <c r="A8" s="31" t="str">
        <f>"Best month for sales: "&amp;INDEX('Monthly Growth'!A4:A9,MATCH(MAX('Monthly Growth'!B4:B9),'Monthly Growth'!B4:B9,0))&amp;" with "&amp;TEXT(MAX('Monthly Growth'!B4:B9),"$#,##0")&amp;" in sales."</f>
        <v>Best month for sales: May-26 with $26,702 in sales.</v>
      </c>
      <c r="B8" s="31"/>
      <c r="C8" s="31"/>
      <c r="D8" s="31"/>
      <c r="E8" s="31"/>
      <c r="F8" s="31"/>
      <c r="G8" s="31"/>
      <c r="H8" s="31"/>
    </row>
    <row r="9" spans="1:10" x14ac:dyDescent="0.3">
      <c r="A9" s="31" t="str">
        <f>"Strongest region: "&amp;INDEX('Pivot Summary'!A5:A8,MATCH(MAX('Pivot Summary'!F5:F8),'Pivot Summary'!F5:F8,0))&amp;" with "&amp;TEXT(MAX('Pivot Summary'!F5:F8),"$#,##0")&amp;" in total sales."</f>
        <v>Strongest region: South with $53,850 in total sales.</v>
      </c>
      <c r="B9" s="31"/>
      <c r="C9" s="31"/>
      <c r="D9" s="31"/>
      <c r="E9" s="31"/>
      <c r="F9" s="31"/>
      <c r="G9" s="31"/>
      <c r="H9" s="31"/>
    </row>
    <row r="10" spans="1:10" x14ac:dyDescent="0.3">
      <c r="A10" s="31" t="str">
        <f>"Sales-Profit correlation (R): "&amp;TEXT('Regression Analysis'!B5,"0.00")&amp;" — Profit tends to rise with Sales."</f>
        <v>Sales-Profit correlation (R): 0.99 — Profit tends to rise with Sales.</v>
      </c>
      <c r="B10" s="31"/>
      <c r="C10" s="31"/>
      <c r="D10" s="31"/>
      <c r="E10" s="31"/>
      <c r="F10" s="31"/>
      <c r="G10" s="31"/>
      <c r="H10" s="31"/>
    </row>
  </sheetData>
  <mergeCells count="16">
    <mergeCell ref="A1:H1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  <mergeCell ref="A6:H6"/>
    <mergeCell ref="A7:H7"/>
    <mergeCell ref="A8:H8"/>
    <mergeCell ref="A9:H9"/>
    <mergeCell ref="A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6" customWidth="1"/>
    <col min="3" max="3" width="10" customWidth="1"/>
    <col min="4" max="5" width="12" customWidth="1"/>
    <col min="6" max="6" width="10" customWidth="1"/>
    <col min="7" max="8" width="12" customWidth="1"/>
    <col min="9" max="9" width="10" customWidth="1"/>
    <col min="10" max="11" width="13" customWidth="1"/>
    <col min="12" max="12" width="11" customWidth="1"/>
    <col min="13" max="13" width="17" customWidth="1"/>
  </cols>
  <sheetData>
    <row r="1" spans="1:15" ht="27.6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O1" s="2" t="s">
        <v>20</v>
      </c>
    </row>
    <row r="2" spans="1:15" x14ac:dyDescent="0.3">
      <c r="A2" s="3">
        <v>1001</v>
      </c>
      <c r="B2" s="3" t="s">
        <v>21</v>
      </c>
      <c r="C2" s="3" t="s">
        <v>22</v>
      </c>
      <c r="D2" s="3" t="s">
        <v>23</v>
      </c>
      <c r="E2" s="4" t="s">
        <v>24</v>
      </c>
      <c r="F2" s="5">
        <v>14</v>
      </c>
      <c r="G2" s="6">
        <v>229.48</v>
      </c>
      <c r="H2" s="6">
        <v>134.66</v>
      </c>
      <c r="I2" s="7">
        <v>0.05</v>
      </c>
      <c r="J2" s="8">
        <f t="shared" ref="J2:J33" si="0">F2*G2*(1-I2)</f>
        <v>3052.0839999999998</v>
      </c>
      <c r="K2" s="8">
        <f t="shared" ref="K2:K33" si="1">J2-(F2*H2*(1-I2))</f>
        <v>1261.106</v>
      </c>
      <c r="L2" s="9" t="str">
        <f t="shared" ref="L2:L33" si="2">TEXT(E2,"mmm-yy")</f>
        <v>Jan-26</v>
      </c>
      <c r="M2" s="10">
        <f t="shared" ref="M2:M33" ca="1" si="3">NOW()</f>
        <v>46275.438352662037</v>
      </c>
    </row>
    <row r="3" spans="1:15" x14ac:dyDescent="0.3">
      <c r="A3" s="3">
        <v>1002</v>
      </c>
      <c r="B3" s="3" t="s">
        <v>25</v>
      </c>
      <c r="C3" s="3" t="s">
        <v>26</v>
      </c>
      <c r="D3" s="3" t="s">
        <v>27</v>
      </c>
      <c r="E3" s="4" t="s">
        <v>28</v>
      </c>
      <c r="F3" s="5">
        <v>6</v>
      </c>
      <c r="G3" s="6">
        <v>100.25</v>
      </c>
      <c r="H3" s="6">
        <v>54.19</v>
      </c>
      <c r="I3" s="7">
        <v>0.15</v>
      </c>
      <c r="J3" s="8">
        <f t="shared" si="0"/>
        <v>511.27499999999998</v>
      </c>
      <c r="K3" s="8">
        <f t="shared" si="1"/>
        <v>234.90600000000001</v>
      </c>
      <c r="L3" s="9" t="str">
        <f t="shared" si="2"/>
        <v>Jan-26</v>
      </c>
      <c r="M3" s="10">
        <f t="shared" ca="1" si="3"/>
        <v>46275.438352662037</v>
      </c>
    </row>
    <row r="4" spans="1:15" x14ac:dyDescent="0.3">
      <c r="A4" s="3">
        <v>1003</v>
      </c>
      <c r="B4" s="3" t="s">
        <v>29</v>
      </c>
      <c r="C4" s="3" t="s">
        <v>30</v>
      </c>
      <c r="D4" s="3" t="s">
        <v>23</v>
      </c>
      <c r="E4" s="4" t="s">
        <v>31</v>
      </c>
      <c r="F4" s="5">
        <v>4</v>
      </c>
      <c r="G4" s="6">
        <v>215.16</v>
      </c>
      <c r="H4" s="6">
        <v>135.47999999999999</v>
      </c>
      <c r="I4" s="7">
        <v>0</v>
      </c>
      <c r="J4" s="8">
        <f t="shared" si="0"/>
        <v>860.64</v>
      </c>
      <c r="K4" s="8">
        <f t="shared" si="1"/>
        <v>318.72000000000003</v>
      </c>
      <c r="L4" s="9" t="str">
        <f t="shared" si="2"/>
        <v>Jan-26</v>
      </c>
      <c r="M4" s="10">
        <f t="shared" ca="1" si="3"/>
        <v>46275.438352662037</v>
      </c>
    </row>
    <row r="5" spans="1:15" x14ac:dyDescent="0.3">
      <c r="A5" s="3">
        <v>1004</v>
      </c>
      <c r="B5" s="3" t="s">
        <v>32</v>
      </c>
      <c r="C5" s="3" t="s">
        <v>26</v>
      </c>
      <c r="D5" s="3" t="s">
        <v>27</v>
      </c>
      <c r="E5" s="4" t="s">
        <v>33</v>
      </c>
      <c r="F5" s="5">
        <v>2</v>
      </c>
      <c r="G5" s="6">
        <v>100.72</v>
      </c>
      <c r="H5" s="6">
        <v>57.59</v>
      </c>
      <c r="I5" s="7">
        <v>0.15</v>
      </c>
      <c r="J5" s="8">
        <f t="shared" si="0"/>
        <v>171.22399999999999</v>
      </c>
      <c r="K5" s="8">
        <f t="shared" si="1"/>
        <v>73.320999999999984</v>
      </c>
      <c r="L5" s="9" t="str">
        <f t="shared" si="2"/>
        <v>Jan-26</v>
      </c>
      <c r="M5" s="10">
        <f t="shared" ca="1" si="3"/>
        <v>46275.438352662037</v>
      </c>
    </row>
    <row r="6" spans="1:15" x14ac:dyDescent="0.3">
      <c r="A6" s="3">
        <v>1005</v>
      </c>
      <c r="B6" s="3" t="s">
        <v>32</v>
      </c>
      <c r="C6" s="3" t="s">
        <v>26</v>
      </c>
      <c r="D6" s="3" t="s">
        <v>34</v>
      </c>
      <c r="E6" s="4" t="s">
        <v>35</v>
      </c>
      <c r="F6" s="5">
        <v>12</v>
      </c>
      <c r="G6" s="6">
        <v>249.66</v>
      </c>
      <c r="H6" s="6">
        <v>152.77000000000001</v>
      </c>
      <c r="I6" s="7">
        <v>0.2</v>
      </c>
      <c r="J6" s="8">
        <f t="shared" si="0"/>
        <v>2396.7360000000003</v>
      </c>
      <c r="K6" s="8">
        <f t="shared" si="1"/>
        <v>930.14400000000001</v>
      </c>
      <c r="L6" s="9" t="str">
        <f t="shared" si="2"/>
        <v>Jan-26</v>
      </c>
      <c r="M6" s="10">
        <f t="shared" ca="1" si="3"/>
        <v>46275.438352662037</v>
      </c>
    </row>
    <row r="7" spans="1:15" x14ac:dyDescent="0.3">
      <c r="A7" s="3">
        <v>1006</v>
      </c>
      <c r="B7" s="3" t="s">
        <v>36</v>
      </c>
      <c r="C7" s="3" t="s">
        <v>26</v>
      </c>
      <c r="D7" s="3" t="s">
        <v>37</v>
      </c>
      <c r="E7" s="4" t="s">
        <v>38</v>
      </c>
      <c r="F7" s="5">
        <v>10</v>
      </c>
      <c r="G7" s="6">
        <v>143.38999999999999</v>
      </c>
      <c r="H7" s="6">
        <v>87.55</v>
      </c>
      <c r="I7" s="7">
        <v>0</v>
      </c>
      <c r="J7" s="8">
        <f t="shared" si="0"/>
        <v>1433.8999999999999</v>
      </c>
      <c r="K7" s="8">
        <f t="shared" si="1"/>
        <v>558.39999999999986</v>
      </c>
      <c r="L7" s="9" t="str">
        <f t="shared" si="2"/>
        <v>Jan-26</v>
      </c>
      <c r="M7" s="10">
        <f t="shared" ca="1" si="3"/>
        <v>46275.438352662037</v>
      </c>
    </row>
    <row r="8" spans="1:15" x14ac:dyDescent="0.3">
      <c r="A8" s="3">
        <v>1007</v>
      </c>
      <c r="B8" s="3" t="s">
        <v>39</v>
      </c>
      <c r="C8" s="3" t="s">
        <v>30</v>
      </c>
      <c r="D8" s="3" t="s">
        <v>37</v>
      </c>
      <c r="E8" s="4" t="s">
        <v>40</v>
      </c>
      <c r="F8" s="5">
        <v>12</v>
      </c>
      <c r="G8" s="6">
        <v>149.91</v>
      </c>
      <c r="H8" s="6">
        <v>89.58</v>
      </c>
      <c r="I8" s="7">
        <v>0.05</v>
      </c>
      <c r="J8" s="8">
        <f t="shared" si="0"/>
        <v>1708.9739999999999</v>
      </c>
      <c r="K8" s="8">
        <f t="shared" si="1"/>
        <v>687.76199999999994</v>
      </c>
      <c r="L8" s="9" t="str">
        <f t="shared" si="2"/>
        <v>Jan-26</v>
      </c>
      <c r="M8" s="10">
        <f t="shared" ca="1" si="3"/>
        <v>46275.438352662037</v>
      </c>
    </row>
    <row r="9" spans="1:15" x14ac:dyDescent="0.3">
      <c r="A9" s="3">
        <v>1008</v>
      </c>
      <c r="B9" s="3" t="s">
        <v>41</v>
      </c>
      <c r="C9" s="3" t="s">
        <v>30</v>
      </c>
      <c r="D9" s="3" t="s">
        <v>23</v>
      </c>
      <c r="E9" s="4" t="s">
        <v>42</v>
      </c>
      <c r="F9" s="5">
        <v>3</v>
      </c>
      <c r="G9" s="6">
        <v>228.17</v>
      </c>
      <c r="H9" s="6">
        <v>134.66</v>
      </c>
      <c r="I9" s="7">
        <v>0.2</v>
      </c>
      <c r="J9" s="8">
        <f t="shared" si="0"/>
        <v>547.60800000000006</v>
      </c>
      <c r="K9" s="8">
        <f t="shared" si="1"/>
        <v>224.42400000000004</v>
      </c>
      <c r="L9" s="9" t="str">
        <f t="shared" si="2"/>
        <v>Jan-26</v>
      </c>
      <c r="M9" s="10">
        <f t="shared" ca="1" si="3"/>
        <v>46275.438352662037</v>
      </c>
    </row>
    <row r="10" spans="1:15" x14ac:dyDescent="0.3">
      <c r="A10" s="3">
        <v>1009</v>
      </c>
      <c r="B10" s="3" t="s">
        <v>43</v>
      </c>
      <c r="C10" s="3" t="s">
        <v>44</v>
      </c>
      <c r="D10" s="3" t="s">
        <v>23</v>
      </c>
      <c r="E10" s="4" t="s">
        <v>45</v>
      </c>
      <c r="F10" s="5">
        <v>18</v>
      </c>
      <c r="G10" s="6">
        <v>213.67</v>
      </c>
      <c r="H10" s="6">
        <v>130.41</v>
      </c>
      <c r="I10" s="7">
        <v>0.05</v>
      </c>
      <c r="J10" s="8">
        <f t="shared" si="0"/>
        <v>3653.7569999999996</v>
      </c>
      <c r="K10" s="8">
        <f t="shared" si="1"/>
        <v>1423.7459999999996</v>
      </c>
      <c r="L10" s="9" t="str">
        <f t="shared" si="2"/>
        <v>Jan-26</v>
      </c>
      <c r="M10" s="10">
        <f t="shared" ca="1" si="3"/>
        <v>46275.438352662037</v>
      </c>
    </row>
    <row r="11" spans="1:15" x14ac:dyDescent="0.3">
      <c r="A11" s="3">
        <v>1010</v>
      </c>
      <c r="B11" s="3" t="s">
        <v>41</v>
      </c>
      <c r="C11" s="3" t="s">
        <v>30</v>
      </c>
      <c r="D11" s="3" t="s">
        <v>37</v>
      </c>
      <c r="E11" s="4" t="s">
        <v>46</v>
      </c>
      <c r="F11" s="5">
        <v>11</v>
      </c>
      <c r="G11" s="6">
        <v>146.97</v>
      </c>
      <c r="H11" s="6">
        <v>85.79</v>
      </c>
      <c r="I11" s="7">
        <v>0.15</v>
      </c>
      <c r="J11" s="8">
        <f t="shared" si="0"/>
        <v>1374.1695</v>
      </c>
      <c r="K11" s="8">
        <f t="shared" si="1"/>
        <v>572.0329999999999</v>
      </c>
      <c r="L11" s="9" t="str">
        <f t="shared" si="2"/>
        <v>Jan-26</v>
      </c>
      <c r="M11" s="10">
        <f t="shared" ca="1" si="3"/>
        <v>46275.438352662037</v>
      </c>
    </row>
    <row r="12" spans="1:15" x14ac:dyDescent="0.3">
      <c r="A12" s="3">
        <v>1011</v>
      </c>
      <c r="B12" s="3" t="s">
        <v>32</v>
      </c>
      <c r="C12" s="3" t="s">
        <v>26</v>
      </c>
      <c r="D12" s="3" t="s">
        <v>23</v>
      </c>
      <c r="E12" s="4" t="s">
        <v>42</v>
      </c>
      <c r="F12" s="5">
        <v>11</v>
      </c>
      <c r="G12" s="6">
        <v>235.12</v>
      </c>
      <c r="H12" s="6">
        <v>132.88999999999999</v>
      </c>
      <c r="I12" s="7">
        <v>0.05</v>
      </c>
      <c r="J12" s="8">
        <f t="shared" si="0"/>
        <v>2457.0039999999999</v>
      </c>
      <c r="K12" s="8">
        <f t="shared" si="1"/>
        <v>1068.3035</v>
      </c>
      <c r="L12" s="9" t="str">
        <f t="shared" si="2"/>
        <v>Jan-26</v>
      </c>
      <c r="M12" s="10">
        <f t="shared" ca="1" si="3"/>
        <v>46275.438352662037</v>
      </c>
    </row>
    <row r="13" spans="1:15" x14ac:dyDescent="0.3">
      <c r="A13" s="3">
        <v>1012</v>
      </c>
      <c r="B13" s="3" t="s">
        <v>47</v>
      </c>
      <c r="C13" s="3" t="s">
        <v>26</v>
      </c>
      <c r="D13" s="3" t="s">
        <v>34</v>
      </c>
      <c r="E13" s="4" t="s">
        <v>48</v>
      </c>
      <c r="F13" s="5">
        <v>5</v>
      </c>
      <c r="G13" s="6">
        <v>276.89999999999998</v>
      </c>
      <c r="H13" s="6">
        <v>158.22999999999999</v>
      </c>
      <c r="I13" s="7">
        <v>0.1</v>
      </c>
      <c r="J13" s="8">
        <f t="shared" si="0"/>
        <v>1246.05</v>
      </c>
      <c r="K13" s="8">
        <f t="shared" si="1"/>
        <v>534.01499999999999</v>
      </c>
      <c r="L13" s="9" t="str">
        <f t="shared" si="2"/>
        <v>Feb-26</v>
      </c>
      <c r="M13" s="10">
        <f t="shared" ca="1" si="3"/>
        <v>46275.438352662037</v>
      </c>
    </row>
    <row r="14" spans="1:15" x14ac:dyDescent="0.3">
      <c r="A14" s="3">
        <v>1013</v>
      </c>
      <c r="B14" s="3" t="s">
        <v>39</v>
      </c>
      <c r="C14" s="3" t="s">
        <v>30</v>
      </c>
      <c r="D14" s="3" t="s">
        <v>27</v>
      </c>
      <c r="E14" s="4" t="s">
        <v>49</v>
      </c>
      <c r="F14" s="5">
        <v>13</v>
      </c>
      <c r="G14" s="6">
        <v>99.48</v>
      </c>
      <c r="H14" s="6">
        <v>56.59</v>
      </c>
      <c r="I14" s="7">
        <v>0.1</v>
      </c>
      <c r="J14" s="8">
        <f t="shared" si="0"/>
        <v>1163.9159999999999</v>
      </c>
      <c r="K14" s="8">
        <f t="shared" si="1"/>
        <v>501.81299999999987</v>
      </c>
      <c r="L14" s="9" t="str">
        <f t="shared" si="2"/>
        <v>Feb-26</v>
      </c>
      <c r="M14" s="10">
        <f t="shared" ca="1" si="3"/>
        <v>46275.438352662037</v>
      </c>
    </row>
    <row r="15" spans="1:15" x14ac:dyDescent="0.3">
      <c r="A15" s="3">
        <v>1014</v>
      </c>
      <c r="B15" s="3" t="s">
        <v>43</v>
      </c>
      <c r="C15" s="3" t="s">
        <v>44</v>
      </c>
      <c r="D15" s="3" t="s">
        <v>34</v>
      </c>
      <c r="E15" s="4" t="s">
        <v>50</v>
      </c>
      <c r="F15" s="5">
        <v>4</v>
      </c>
      <c r="G15" s="6">
        <v>250.07</v>
      </c>
      <c r="H15" s="6">
        <v>148.94</v>
      </c>
      <c r="I15" s="7">
        <v>0.05</v>
      </c>
      <c r="J15" s="8">
        <f t="shared" si="0"/>
        <v>950.26599999999996</v>
      </c>
      <c r="K15" s="8">
        <f t="shared" si="1"/>
        <v>384.29399999999998</v>
      </c>
      <c r="L15" s="9" t="str">
        <f t="shared" si="2"/>
        <v>Feb-26</v>
      </c>
      <c r="M15" s="10">
        <f t="shared" ca="1" si="3"/>
        <v>46275.438352662037</v>
      </c>
    </row>
    <row r="16" spans="1:15" x14ac:dyDescent="0.3">
      <c r="A16" s="3">
        <v>1015</v>
      </c>
      <c r="B16" s="3" t="s">
        <v>43</v>
      </c>
      <c r="C16" s="3" t="s">
        <v>44</v>
      </c>
      <c r="D16" s="3" t="s">
        <v>34</v>
      </c>
      <c r="E16" s="4" t="s">
        <v>51</v>
      </c>
      <c r="F16" s="5">
        <v>15</v>
      </c>
      <c r="G16" s="6">
        <v>267.16000000000003</v>
      </c>
      <c r="H16" s="6">
        <v>154.19999999999999</v>
      </c>
      <c r="I16" s="7">
        <v>0.2</v>
      </c>
      <c r="J16" s="8">
        <f t="shared" si="0"/>
        <v>3205.9200000000005</v>
      </c>
      <c r="K16" s="8">
        <f t="shared" si="1"/>
        <v>1355.5200000000004</v>
      </c>
      <c r="L16" s="9" t="str">
        <f t="shared" si="2"/>
        <v>Feb-26</v>
      </c>
      <c r="M16" s="10">
        <f t="shared" ca="1" si="3"/>
        <v>46275.438352662037</v>
      </c>
    </row>
    <row r="17" spans="1:13" x14ac:dyDescent="0.3">
      <c r="A17" s="3">
        <v>1016</v>
      </c>
      <c r="B17" s="3" t="s">
        <v>21</v>
      </c>
      <c r="C17" s="3" t="s">
        <v>22</v>
      </c>
      <c r="D17" s="3" t="s">
        <v>37</v>
      </c>
      <c r="E17" s="4" t="s">
        <v>52</v>
      </c>
      <c r="F17" s="5">
        <v>18</v>
      </c>
      <c r="G17" s="6">
        <v>155.77000000000001</v>
      </c>
      <c r="H17" s="6">
        <v>86.53</v>
      </c>
      <c r="I17" s="7">
        <v>0.1</v>
      </c>
      <c r="J17" s="8">
        <f t="shared" si="0"/>
        <v>2523.4740000000002</v>
      </c>
      <c r="K17" s="8">
        <f t="shared" si="1"/>
        <v>1121.6880000000001</v>
      </c>
      <c r="L17" s="9" t="str">
        <f t="shared" si="2"/>
        <v>Feb-26</v>
      </c>
      <c r="M17" s="10">
        <f t="shared" ca="1" si="3"/>
        <v>46275.438352662037</v>
      </c>
    </row>
    <row r="18" spans="1:13" x14ac:dyDescent="0.3">
      <c r="A18" s="3">
        <v>1017</v>
      </c>
      <c r="B18" s="3" t="s">
        <v>53</v>
      </c>
      <c r="C18" s="3" t="s">
        <v>26</v>
      </c>
      <c r="D18" s="3" t="s">
        <v>27</v>
      </c>
      <c r="E18" s="4" t="s">
        <v>54</v>
      </c>
      <c r="F18" s="5">
        <v>15</v>
      </c>
      <c r="G18" s="6">
        <v>91.63</v>
      </c>
      <c r="H18" s="6">
        <v>56.63</v>
      </c>
      <c r="I18" s="7">
        <v>0</v>
      </c>
      <c r="J18" s="8">
        <f t="shared" si="0"/>
        <v>1374.4499999999998</v>
      </c>
      <c r="K18" s="8">
        <f t="shared" si="1"/>
        <v>524.99999999999977</v>
      </c>
      <c r="L18" s="9" t="str">
        <f t="shared" si="2"/>
        <v>Feb-26</v>
      </c>
      <c r="M18" s="10">
        <f t="shared" ca="1" si="3"/>
        <v>46275.438352662037</v>
      </c>
    </row>
    <row r="19" spans="1:13" x14ac:dyDescent="0.3">
      <c r="A19" s="3">
        <v>1018</v>
      </c>
      <c r="B19" s="3" t="s">
        <v>55</v>
      </c>
      <c r="C19" s="3" t="s">
        <v>26</v>
      </c>
      <c r="D19" s="3" t="s">
        <v>27</v>
      </c>
      <c r="E19" s="4" t="s">
        <v>56</v>
      </c>
      <c r="F19" s="5">
        <v>17</v>
      </c>
      <c r="G19" s="6">
        <v>102.25</v>
      </c>
      <c r="H19" s="6">
        <v>58.49</v>
      </c>
      <c r="I19" s="7">
        <v>0</v>
      </c>
      <c r="J19" s="8">
        <f t="shared" si="0"/>
        <v>1738.25</v>
      </c>
      <c r="K19" s="8">
        <f t="shared" si="1"/>
        <v>743.92</v>
      </c>
      <c r="L19" s="9" t="str">
        <f t="shared" si="2"/>
        <v>Feb-26</v>
      </c>
      <c r="M19" s="10">
        <f t="shared" ca="1" si="3"/>
        <v>46275.438352662037</v>
      </c>
    </row>
    <row r="20" spans="1:13" x14ac:dyDescent="0.3">
      <c r="A20" s="3">
        <v>1019</v>
      </c>
      <c r="B20" s="3" t="s">
        <v>53</v>
      </c>
      <c r="C20" s="3" t="s">
        <v>26</v>
      </c>
      <c r="D20" s="3" t="s">
        <v>27</v>
      </c>
      <c r="E20" s="4" t="s">
        <v>57</v>
      </c>
      <c r="F20" s="5">
        <v>7</v>
      </c>
      <c r="G20" s="6">
        <v>100.64</v>
      </c>
      <c r="H20" s="6">
        <v>57.04</v>
      </c>
      <c r="I20" s="7">
        <v>0.05</v>
      </c>
      <c r="J20" s="8">
        <f t="shared" si="0"/>
        <v>669.25599999999997</v>
      </c>
      <c r="K20" s="8">
        <f t="shared" si="1"/>
        <v>289.94</v>
      </c>
      <c r="L20" s="9" t="str">
        <f t="shared" si="2"/>
        <v>Feb-26</v>
      </c>
      <c r="M20" s="10">
        <f t="shared" ca="1" si="3"/>
        <v>46275.438352662037</v>
      </c>
    </row>
    <row r="21" spans="1:13" x14ac:dyDescent="0.3">
      <c r="A21" s="3">
        <v>1020</v>
      </c>
      <c r="B21" s="3" t="s">
        <v>58</v>
      </c>
      <c r="C21" s="3" t="s">
        <v>30</v>
      </c>
      <c r="D21" s="3" t="s">
        <v>23</v>
      </c>
      <c r="E21" s="4" t="s">
        <v>59</v>
      </c>
      <c r="F21" s="5">
        <v>17</v>
      </c>
      <c r="G21" s="6">
        <v>224.43</v>
      </c>
      <c r="H21" s="6">
        <v>135.68</v>
      </c>
      <c r="I21" s="7">
        <v>0</v>
      </c>
      <c r="J21" s="8">
        <f t="shared" si="0"/>
        <v>3815.31</v>
      </c>
      <c r="K21" s="8">
        <f t="shared" si="1"/>
        <v>1508.75</v>
      </c>
      <c r="L21" s="9" t="str">
        <f t="shared" si="2"/>
        <v>Feb-26</v>
      </c>
      <c r="M21" s="10">
        <f t="shared" ca="1" si="3"/>
        <v>46275.438352662037</v>
      </c>
    </row>
    <row r="22" spans="1:13" x14ac:dyDescent="0.3">
      <c r="A22" s="3">
        <v>1021</v>
      </c>
      <c r="B22" s="3" t="s">
        <v>41</v>
      </c>
      <c r="C22" s="3" t="s">
        <v>30</v>
      </c>
      <c r="D22" s="3" t="s">
        <v>34</v>
      </c>
      <c r="E22" s="4" t="s">
        <v>60</v>
      </c>
      <c r="F22" s="5">
        <v>10</v>
      </c>
      <c r="G22" s="6">
        <v>247.66</v>
      </c>
      <c r="H22" s="6">
        <v>162.69</v>
      </c>
      <c r="I22" s="7">
        <v>0.05</v>
      </c>
      <c r="J22" s="8">
        <f t="shared" si="0"/>
        <v>2352.77</v>
      </c>
      <c r="K22" s="8">
        <f t="shared" si="1"/>
        <v>807.21499999999992</v>
      </c>
      <c r="L22" s="9" t="str">
        <f t="shared" si="2"/>
        <v>Feb-26</v>
      </c>
      <c r="M22" s="10">
        <f t="shared" ca="1" si="3"/>
        <v>46275.438352662037</v>
      </c>
    </row>
    <row r="23" spans="1:13" x14ac:dyDescent="0.3">
      <c r="A23" s="3">
        <v>1022</v>
      </c>
      <c r="B23" s="3" t="s">
        <v>39</v>
      </c>
      <c r="C23" s="3" t="s">
        <v>30</v>
      </c>
      <c r="D23" s="3" t="s">
        <v>37</v>
      </c>
      <c r="E23" s="4" t="s">
        <v>52</v>
      </c>
      <c r="F23" s="5">
        <v>3</v>
      </c>
      <c r="G23" s="6">
        <v>144.16999999999999</v>
      </c>
      <c r="H23" s="6">
        <v>89.87</v>
      </c>
      <c r="I23" s="7">
        <v>0.2</v>
      </c>
      <c r="J23" s="8">
        <f t="shared" si="0"/>
        <v>346.00800000000004</v>
      </c>
      <c r="K23" s="8">
        <f t="shared" si="1"/>
        <v>130.32000000000002</v>
      </c>
      <c r="L23" s="9" t="str">
        <f t="shared" si="2"/>
        <v>Feb-26</v>
      </c>
      <c r="M23" s="10">
        <f t="shared" ca="1" si="3"/>
        <v>46275.438352662037</v>
      </c>
    </row>
    <row r="24" spans="1:13" x14ac:dyDescent="0.3">
      <c r="A24" s="3">
        <v>1023</v>
      </c>
      <c r="B24" s="3" t="s">
        <v>43</v>
      </c>
      <c r="C24" s="3" t="s">
        <v>44</v>
      </c>
      <c r="D24" s="3" t="s">
        <v>23</v>
      </c>
      <c r="E24" s="4" t="s">
        <v>61</v>
      </c>
      <c r="F24" s="5">
        <v>6</v>
      </c>
      <c r="G24" s="6">
        <v>227.87</v>
      </c>
      <c r="H24" s="6">
        <v>137.9</v>
      </c>
      <c r="I24" s="7">
        <v>0.1</v>
      </c>
      <c r="J24" s="8">
        <f t="shared" si="0"/>
        <v>1230.498</v>
      </c>
      <c r="K24" s="8">
        <f t="shared" si="1"/>
        <v>485.83799999999997</v>
      </c>
      <c r="L24" s="9" t="str">
        <f t="shared" si="2"/>
        <v>Feb-26</v>
      </c>
      <c r="M24" s="10">
        <f t="shared" ca="1" si="3"/>
        <v>46275.438352662037</v>
      </c>
    </row>
    <row r="25" spans="1:13" x14ac:dyDescent="0.3">
      <c r="A25" s="3">
        <v>1024</v>
      </c>
      <c r="B25" s="3" t="s">
        <v>62</v>
      </c>
      <c r="C25" s="3" t="s">
        <v>30</v>
      </c>
      <c r="D25" s="3" t="s">
        <v>34</v>
      </c>
      <c r="E25" s="4" t="s">
        <v>63</v>
      </c>
      <c r="F25" s="5">
        <v>7</v>
      </c>
      <c r="G25" s="6">
        <v>279.60000000000002</v>
      </c>
      <c r="H25" s="6">
        <v>162.69</v>
      </c>
      <c r="I25" s="7">
        <v>0.1</v>
      </c>
      <c r="J25" s="8">
        <f t="shared" si="0"/>
        <v>1761.4800000000002</v>
      </c>
      <c r="K25" s="8">
        <f t="shared" si="1"/>
        <v>736.53300000000036</v>
      </c>
      <c r="L25" s="9" t="str">
        <f t="shared" si="2"/>
        <v>Mar-26</v>
      </c>
      <c r="M25" s="10">
        <f t="shared" ca="1" si="3"/>
        <v>46275.438352662037</v>
      </c>
    </row>
    <row r="26" spans="1:13" x14ac:dyDescent="0.3">
      <c r="A26" s="3">
        <v>1025</v>
      </c>
      <c r="B26" s="3" t="s">
        <v>53</v>
      </c>
      <c r="C26" s="3" t="s">
        <v>26</v>
      </c>
      <c r="D26" s="3" t="s">
        <v>27</v>
      </c>
      <c r="E26" s="4" t="s">
        <v>64</v>
      </c>
      <c r="F26" s="5">
        <v>4</v>
      </c>
      <c r="G26" s="6">
        <v>95.66</v>
      </c>
      <c r="H26" s="6">
        <v>57.1</v>
      </c>
      <c r="I26" s="7">
        <v>0.05</v>
      </c>
      <c r="J26" s="8">
        <f t="shared" si="0"/>
        <v>363.50799999999998</v>
      </c>
      <c r="K26" s="8">
        <f t="shared" si="1"/>
        <v>146.52799999999999</v>
      </c>
      <c r="L26" s="9" t="str">
        <f t="shared" si="2"/>
        <v>Mar-26</v>
      </c>
      <c r="M26" s="10">
        <f t="shared" ca="1" si="3"/>
        <v>46275.438352662037</v>
      </c>
    </row>
    <row r="27" spans="1:13" x14ac:dyDescent="0.3">
      <c r="A27" s="3">
        <v>1026</v>
      </c>
      <c r="B27" s="3" t="s">
        <v>32</v>
      </c>
      <c r="C27" s="3" t="s">
        <v>26</v>
      </c>
      <c r="D27" s="3" t="s">
        <v>27</v>
      </c>
      <c r="E27" s="4" t="s">
        <v>65</v>
      </c>
      <c r="F27" s="5">
        <v>8</v>
      </c>
      <c r="G27" s="6">
        <v>90.51</v>
      </c>
      <c r="H27" s="6">
        <v>57.31</v>
      </c>
      <c r="I27" s="7">
        <v>0</v>
      </c>
      <c r="J27" s="8">
        <f t="shared" si="0"/>
        <v>724.08</v>
      </c>
      <c r="K27" s="8">
        <f t="shared" si="1"/>
        <v>265.60000000000002</v>
      </c>
      <c r="L27" s="9" t="str">
        <f t="shared" si="2"/>
        <v>Mar-26</v>
      </c>
      <c r="M27" s="10">
        <f t="shared" ca="1" si="3"/>
        <v>46275.438352662037</v>
      </c>
    </row>
    <row r="28" spans="1:13" x14ac:dyDescent="0.3">
      <c r="A28" s="3">
        <v>1027</v>
      </c>
      <c r="B28" s="3" t="s">
        <v>36</v>
      </c>
      <c r="C28" s="3" t="s">
        <v>26</v>
      </c>
      <c r="D28" s="3" t="s">
        <v>37</v>
      </c>
      <c r="E28" s="4" t="s">
        <v>66</v>
      </c>
      <c r="F28" s="5">
        <v>11</v>
      </c>
      <c r="G28" s="6">
        <v>146.96</v>
      </c>
      <c r="H28" s="6">
        <v>93.65</v>
      </c>
      <c r="I28" s="7">
        <v>0</v>
      </c>
      <c r="J28" s="8">
        <f t="shared" si="0"/>
        <v>1616.5600000000002</v>
      </c>
      <c r="K28" s="8">
        <f t="shared" si="1"/>
        <v>586.41000000000008</v>
      </c>
      <c r="L28" s="9" t="str">
        <f t="shared" si="2"/>
        <v>Mar-26</v>
      </c>
      <c r="M28" s="10">
        <f t="shared" ca="1" si="3"/>
        <v>46275.438352662037</v>
      </c>
    </row>
    <row r="29" spans="1:13" x14ac:dyDescent="0.3">
      <c r="A29" s="3">
        <v>1028</v>
      </c>
      <c r="B29" s="3" t="s">
        <v>39</v>
      </c>
      <c r="C29" s="3" t="s">
        <v>30</v>
      </c>
      <c r="D29" s="3" t="s">
        <v>27</v>
      </c>
      <c r="E29" s="4" t="s">
        <v>67</v>
      </c>
      <c r="F29" s="5">
        <v>5</v>
      </c>
      <c r="G29" s="6">
        <v>98.51</v>
      </c>
      <c r="H29" s="6">
        <v>55.37</v>
      </c>
      <c r="I29" s="7">
        <v>0.2</v>
      </c>
      <c r="J29" s="8">
        <f t="shared" si="0"/>
        <v>394.04</v>
      </c>
      <c r="K29" s="8">
        <f t="shared" si="1"/>
        <v>172.56000000000003</v>
      </c>
      <c r="L29" s="9" t="str">
        <f t="shared" si="2"/>
        <v>Mar-26</v>
      </c>
      <c r="M29" s="10">
        <f t="shared" ca="1" si="3"/>
        <v>46275.438352662037</v>
      </c>
    </row>
    <row r="30" spans="1:13" x14ac:dyDescent="0.3">
      <c r="A30" s="3">
        <v>1029</v>
      </c>
      <c r="B30" s="3" t="s">
        <v>47</v>
      </c>
      <c r="C30" s="3" t="s">
        <v>26</v>
      </c>
      <c r="D30" s="3" t="s">
        <v>23</v>
      </c>
      <c r="E30" s="4" t="s">
        <v>68</v>
      </c>
      <c r="F30" s="5">
        <v>7</v>
      </c>
      <c r="G30" s="6">
        <v>231.44</v>
      </c>
      <c r="H30" s="6">
        <v>136.06</v>
      </c>
      <c r="I30" s="7">
        <v>0</v>
      </c>
      <c r="J30" s="8">
        <f t="shared" si="0"/>
        <v>1620.08</v>
      </c>
      <c r="K30" s="8">
        <f t="shared" si="1"/>
        <v>667.65999999999985</v>
      </c>
      <c r="L30" s="9" t="str">
        <f t="shared" si="2"/>
        <v>Mar-26</v>
      </c>
      <c r="M30" s="10">
        <f t="shared" ca="1" si="3"/>
        <v>46275.438352662037</v>
      </c>
    </row>
    <row r="31" spans="1:13" x14ac:dyDescent="0.3">
      <c r="A31" s="3">
        <v>1030</v>
      </c>
      <c r="B31" s="3" t="s">
        <v>53</v>
      </c>
      <c r="C31" s="3" t="s">
        <v>26</v>
      </c>
      <c r="D31" s="3" t="s">
        <v>34</v>
      </c>
      <c r="E31" s="4" t="s">
        <v>69</v>
      </c>
      <c r="F31" s="5">
        <v>2</v>
      </c>
      <c r="G31" s="6">
        <v>258.98</v>
      </c>
      <c r="H31" s="6">
        <v>154.61000000000001</v>
      </c>
      <c r="I31" s="7">
        <v>0</v>
      </c>
      <c r="J31" s="8">
        <f t="shared" si="0"/>
        <v>517.96</v>
      </c>
      <c r="K31" s="8">
        <f t="shared" si="1"/>
        <v>208.74</v>
      </c>
      <c r="L31" s="9" t="str">
        <f t="shared" si="2"/>
        <v>Mar-26</v>
      </c>
      <c r="M31" s="10">
        <f t="shared" ca="1" si="3"/>
        <v>46275.438352662037</v>
      </c>
    </row>
    <row r="32" spans="1:13" x14ac:dyDescent="0.3">
      <c r="A32" s="3">
        <v>1031</v>
      </c>
      <c r="B32" s="3" t="s">
        <v>70</v>
      </c>
      <c r="C32" s="3" t="s">
        <v>26</v>
      </c>
      <c r="D32" s="3" t="s">
        <v>27</v>
      </c>
      <c r="E32" s="4" t="s">
        <v>71</v>
      </c>
      <c r="F32" s="5">
        <v>7</v>
      </c>
      <c r="G32" s="6">
        <v>100.14</v>
      </c>
      <c r="H32" s="6">
        <v>54.77</v>
      </c>
      <c r="I32" s="7">
        <v>0.05</v>
      </c>
      <c r="J32" s="8">
        <f t="shared" si="0"/>
        <v>665.93100000000004</v>
      </c>
      <c r="K32" s="8">
        <f t="shared" si="1"/>
        <v>301.71050000000002</v>
      </c>
      <c r="L32" s="9" t="str">
        <f t="shared" si="2"/>
        <v>Mar-26</v>
      </c>
      <c r="M32" s="10">
        <f t="shared" ca="1" si="3"/>
        <v>46275.438352662037</v>
      </c>
    </row>
    <row r="33" spans="1:13" x14ac:dyDescent="0.3">
      <c r="A33" s="3">
        <v>1032</v>
      </c>
      <c r="B33" s="3" t="s">
        <v>47</v>
      </c>
      <c r="C33" s="3" t="s">
        <v>26</v>
      </c>
      <c r="D33" s="3" t="s">
        <v>23</v>
      </c>
      <c r="E33" s="4" t="s">
        <v>72</v>
      </c>
      <c r="F33" s="5">
        <v>8</v>
      </c>
      <c r="G33" s="6">
        <v>221.07</v>
      </c>
      <c r="H33" s="6">
        <v>129.08000000000001</v>
      </c>
      <c r="I33" s="7">
        <v>0</v>
      </c>
      <c r="J33" s="8">
        <f t="shared" si="0"/>
        <v>1768.56</v>
      </c>
      <c r="K33" s="8">
        <f t="shared" si="1"/>
        <v>735.91999999999985</v>
      </c>
      <c r="L33" s="9" t="str">
        <f t="shared" si="2"/>
        <v>Mar-26</v>
      </c>
      <c r="M33" s="10">
        <f t="shared" ca="1" si="3"/>
        <v>46275.438352662037</v>
      </c>
    </row>
    <row r="34" spans="1:13" x14ac:dyDescent="0.3">
      <c r="A34" s="3">
        <v>1033</v>
      </c>
      <c r="B34" s="3" t="s">
        <v>58</v>
      </c>
      <c r="C34" s="3" t="s">
        <v>30</v>
      </c>
      <c r="D34" s="3" t="s">
        <v>37</v>
      </c>
      <c r="E34" s="4" t="s">
        <v>73</v>
      </c>
      <c r="F34" s="5">
        <v>1</v>
      </c>
      <c r="G34" s="6">
        <v>143.49</v>
      </c>
      <c r="H34" s="6">
        <v>94.49</v>
      </c>
      <c r="I34" s="7">
        <v>0</v>
      </c>
      <c r="J34" s="8">
        <f t="shared" ref="J34:J65" si="4">F34*G34*(1-I34)</f>
        <v>143.49</v>
      </c>
      <c r="K34" s="8">
        <f t="shared" ref="K34:K65" si="5">J34-(F34*H34*(1-I34))</f>
        <v>49.000000000000014</v>
      </c>
      <c r="L34" s="9" t="str">
        <f t="shared" ref="L34:L65" si="6">TEXT(E34,"mmm-yy")</f>
        <v>Mar-26</v>
      </c>
      <c r="M34" s="10">
        <f t="shared" ref="M34:M65" ca="1" si="7">NOW()</f>
        <v>46275.438352662037</v>
      </c>
    </row>
    <row r="35" spans="1:13" x14ac:dyDescent="0.3">
      <c r="A35" s="3">
        <v>1034</v>
      </c>
      <c r="B35" s="3" t="s">
        <v>62</v>
      </c>
      <c r="C35" s="3" t="s">
        <v>30</v>
      </c>
      <c r="D35" s="3" t="s">
        <v>23</v>
      </c>
      <c r="E35" s="4" t="s">
        <v>69</v>
      </c>
      <c r="F35" s="5">
        <v>7</v>
      </c>
      <c r="G35" s="6">
        <v>213.76</v>
      </c>
      <c r="H35" s="6">
        <v>131.81</v>
      </c>
      <c r="I35" s="7">
        <v>0.15</v>
      </c>
      <c r="J35" s="8">
        <f t="shared" si="4"/>
        <v>1271.8719999999998</v>
      </c>
      <c r="K35" s="8">
        <f t="shared" si="5"/>
        <v>487.60249999999985</v>
      </c>
      <c r="L35" s="9" t="str">
        <f t="shared" si="6"/>
        <v>Mar-26</v>
      </c>
      <c r="M35" s="10">
        <f t="shared" ca="1" si="7"/>
        <v>46275.438352662037</v>
      </c>
    </row>
    <row r="36" spans="1:13" x14ac:dyDescent="0.3">
      <c r="A36" s="3">
        <v>1035</v>
      </c>
      <c r="B36" s="3" t="s">
        <v>43</v>
      </c>
      <c r="C36" s="3" t="s">
        <v>44</v>
      </c>
      <c r="D36" s="3" t="s">
        <v>34</v>
      </c>
      <c r="E36" s="4" t="s">
        <v>74</v>
      </c>
      <c r="F36" s="5">
        <v>15</v>
      </c>
      <c r="G36" s="6">
        <v>247.07</v>
      </c>
      <c r="H36" s="6">
        <v>154.29</v>
      </c>
      <c r="I36" s="7">
        <v>0.1</v>
      </c>
      <c r="J36" s="8">
        <f t="shared" si="4"/>
        <v>3335.4449999999997</v>
      </c>
      <c r="K36" s="8">
        <f t="shared" si="5"/>
        <v>1252.5299999999997</v>
      </c>
      <c r="L36" s="9" t="str">
        <f t="shared" si="6"/>
        <v>Mar-26</v>
      </c>
      <c r="M36" s="10">
        <f t="shared" ca="1" si="7"/>
        <v>46275.438352662037</v>
      </c>
    </row>
    <row r="37" spans="1:13" x14ac:dyDescent="0.3">
      <c r="A37" s="3">
        <v>1036</v>
      </c>
      <c r="B37" s="3" t="s">
        <v>36</v>
      </c>
      <c r="C37" s="3" t="s">
        <v>26</v>
      </c>
      <c r="D37" s="3" t="s">
        <v>34</v>
      </c>
      <c r="E37" s="4" t="s">
        <v>75</v>
      </c>
      <c r="F37" s="5">
        <v>2</v>
      </c>
      <c r="G37" s="6">
        <v>252.23</v>
      </c>
      <c r="H37" s="6">
        <v>152.83000000000001</v>
      </c>
      <c r="I37" s="7">
        <v>0.2</v>
      </c>
      <c r="J37" s="8">
        <f t="shared" si="4"/>
        <v>403.56799999999998</v>
      </c>
      <c r="K37" s="8">
        <f t="shared" si="5"/>
        <v>159.03999999999996</v>
      </c>
      <c r="L37" s="9" t="str">
        <f t="shared" si="6"/>
        <v>Mar-26</v>
      </c>
      <c r="M37" s="10">
        <f t="shared" ca="1" si="7"/>
        <v>46275.438352662037</v>
      </c>
    </row>
    <row r="38" spans="1:13" x14ac:dyDescent="0.3">
      <c r="A38" s="3">
        <v>1037</v>
      </c>
      <c r="B38" s="3" t="s">
        <v>21</v>
      </c>
      <c r="C38" s="3" t="s">
        <v>22</v>
      </c>
      <c r="D38" s="3" t="s">
        <v>37</v>
      </c>
      <c r="E38" s="4" t="s">
        <v>76</v>
      </c>
      <c r="F38" s="5">
        <v>16</v>
      </c>
      <c r="G38" s="6">
        <v>157.09</v>
      </c>
      <c r="H38" s="6">
        <v>86.01</v>
      </c>
      <c r="I38" s="7">
        <v>0.2</v>
      </c>
      <c r="J38" s="8">
        <f t="shared" si="4"/>
        <v>2010.7520000000002</v>
      </c>
      <c r="K38" s="8">
        <f t="shared" si="5"/>
        <v>909.82400000000007</v>
      </c>
      <c r="L38" s="9" t="str">
        <f t="shared" si="6"/>
        <v>Apr-26</v>
      </c>
      <c r="M38" s="10">
        <f t="shared" ca="1" si="7"/>
        <v>46275.438352662037</v>
      </c>
    </row>
    <row r="39" spans="1:13" x14ac:dyDescent="0.3">
      <c r="A39" s="3">
        <v>1038</v>
      </c>
      <c r="B39" s="3" t="s">
        <v>21</v>
      </c>
      <c r="C39" s="3" t="s">
        <v>22</v>
      </c>
      <c r="D39" s="3" t="s">
        <v>23</v>
      </c>
      <c r="E39" s="4" t="s">
        <v>77</v>
      </c>
      <c r="F39" s="5">
        <v>6</v>
      </c>
      <c r="G39" s="6">
        <v>210.63</v>
      </c>
      <c r="H39" s="6">
        <v>132.1</v>
      </c>
      <c r="I39" s="7">
        <v>0</v>
      </c>
      <c r="J39" s="8">
        <f t="shared" si="4"/>
        <v>1263.78</v>
      </c>
      <c r="K39" s="8">
        <f t="shared" si="5"/>
        <v>471.18000000000006</v>
      </c>
      <c r="L39" s="9" t="str">
        <f t="shared" si="6"/>
        <v>Apr-26</v>
      </c>
      <c r="M39" s="10">
        <f t="shared" ca="1" si="7"/>
        <v>46275.438352662037</v>
      </c>
    </row>
    <row r="40" spans="1:13" x14ac:dyDescent="0.3">
      <c r="A40" s="3">
        <v>1039</v>
      </c>
      <c r="B40" s="3" t="s">
        <v>32</v>
      </c>
      <c r="C40" s="3" t="s">
        <v>26</v>
      </c>
      <c r="D40" s="3" t="s">
        <v>23</v>
      </c>
      <c r="E40" s="4" t="s">
        <v>77</v>
      </c>
      <c r="F40" s="5">
        <v>8</v>
      </c>
      <c r="G40" s="6">
        <v>220.55</v>
      </c>
      <c r="H40" s="6">
        <v>137.83000000000001</v>
      </c>
      <c r="I40" s="7">
        <v>0.2</v>
      </c>
      <c r="J40" s="8">
        <f t="shared" si="4"/>
        <v>1411.5200000000002</v>
      </c>
      <c r="K40" s="8">
        <f t="shared" si="5"/>
        <v>529.40800000000013</v>
      </c>
      <c r="L40" s="9" t="str">
        <f t="shared" si="6"/>
        <v>Apr-26</v>
      </c>
      <c r="M40" s="10">
        <f t="shared" ca="1" si="7"/>
        <v>46275.438352662037</v>
      </c>
    </row>
    <row r="41" spans="1:13" x14ac:dyDescent="0.3">
      <c r="A41" s="3">
        <v>1040</v>
      </c>
      <c r="B41" s="3" t="s">
        <v>78</v>
      </c>
      <c r="C41" s="3" t="s">
        <v>26</v>
      </c>
      <c r="D41" s="3" t="s">
        <v>37</v>
      </c>
      <c r="E41" s="4" t="s">
        <v>79</v>
      </c>
      <c r="F41" s="5">
        <v>17</v>
      </c>
      <c r="G41" s="6">
        <v>150.66999999999999</v>
      </c>
      <c r="H41" s="6">
        <v>90.75</v>
      </c>
      <c r="I41" s="7">
        <v>0.1</v>
      </c>
      <c r="J41" s="8">
        <f t="shared" si="4"/>
        <v>2305.2509999999997</v>
      </c>
      <c r="K41" s="8">
        <f t="shared" si="5"/>
        <v>916.77599999999961</v>
      </c>
      <c r="L41" s="9" t="str">
        <f t="shared" si="6"/>
        <v>Apr-26</v>
      </c>
      <c r="M41" s="10">
        <f t="shared" ca="1" si="7"/>
        <v>46275.438352662037</v>
      </c>
    </row>
    <row r="42" spans="1:13" x14ac:dyDescent="0.3">
      <c r="A42" s="3">
        <v>1041</v>
      </c>
      <c r="B42" s="3" t="s">
        <v>39</v>
      </c>
      <c r="C42" s="3" t="s">
        <v>30</v>
      </c>
      <c r="D42" s="3" t="s">
        <v>27</v>
      </c>
      <c r="E42" s="4" t="s">
        <v>80</v>
      </c>
      <c r="F42" s="5">
        <v>10</v>
      </c>
      <c r="G42" s="6">
        <v>93.2</v>
      </c>
      <c r="H42" s="6">
        <v>56.41</v>
      </c>
      <c r="I42" s="7">
        <v>0.15</v>
      </c>
      <c r="J42" s="8">
        <f t="shared" si="4"/>
        <v>792.19999999999993</v>
      </c>
      <c r="K42" s="8">
        <f t="shared" si="5"/>
        <v>312.71500000000003</v>
      </c>
      <c r="L42" s="9" t="str">
        <f t="shared" si="6"/>
        <v>Apr-26</v>
      </c>
      <c r="M42" s="10">
        <f t="shared" ca="1" si="7"/>
        <v>46275.438352662037</v>
      </c>
    </row>
    <row r="43" spans="1:13" x14ac:dyDescent="0.3">
      <c r="A43" s="3">
        <v>1042</v>
      </c>
      <c r="B43" s="3" t="s">
        <v>55</v>
      </c>
      <c r="C43" s="3" t="s">
        <v>26</v>
      </c>
      <c r="D43" s="3" t="s">
        <v>37</v>
      </c>
      <c r="E43" s="4" t="s">
        <v>81</v>
      </c>
      <c r="F43" s="5">
        <v>4</v>
      </c>
      <c r="G43" s="6">
        <v>142.68</v>
      </c>
      <c r="H43" s="6">
        <v>91.09</v>
      </c>
      <c r="I43" s="7">
        <v>0</v>
      </c>
      <c r="J43" s="8">
        <f t="shared" si="4"/>
        <v>570.72</v>
      </c>
      <c r="K43" s="8">
        <f t="shared" si="5"/>
        <v>206.36</v>
      </c>
      <c r="L43" s="9" t="str">
        <f t="shared" si="6"/>
        <v>Apr-26</v>
      </c>
      <c r="M43" s="10">
        <f t="shared" ca="1" si="7"/>
        <v>46275.438352662037</v>
      </c>
    </row>
    <row r="44" spans="1:13" x14ac:dyDescent="0.3">
      <c r="A44" s="3">
        <v>1043</v>
      </c>
      <c r="B44" s="3" t="s">
        <v>39</v>
      </c>
      <c r="C44" s="3" t="s">
        <v>30</v>
      </c>
      <c r="D44" s="3" t="s">
        <v>27</v>
      </c>
      <c r="E44" s="4" t="s">
        <v>82</v>
      </c>
      <c r="F44" s="5">
        <v>3</v>
      </c>
      <c r="G44" s="6">
        <v>91.89</v>
      </c>
      <c r="H44" s="6">
        <v>56.14</v>
      </c>
      <c r="I44" s="7">
        <v>0.05</v>
      </c>
      <c r="J44" s="8">
        <f t="shared" si="4"/>
        <v>261.88650000000001</v>
      </c>
      <c r="K44" s="8">
        <f t="shared" si="5"/>
        <v>101.88750000000002</v>
      </c>
      <c r="L44" s="9" t="str">
        <f t="shared" si="6"/>
        <v>Apr-26</v>
      </c>
      <c r="M44" s="10">
        <f t="shared" ca="1" si="7"/>
        <v>46275.438352662037</v>
      </c>
    </row>
    <row r="45" spans="1:13" x14ac:dyDescent="0.3">
      <c r="A45" s="3">
        <v>1044</v>
      </c>
      <c r="B45" s="3" t="s">
        <v>29</v>
      </c>
      <c r="C45" s="3" t="s">
        <v>30</v>
      </c>
      <c r="D45" s="3" t="s">
        <v>23</v>
      </c>
      <c r="E45" s="4" t="s">
        <v>83</v>
      </c>
      <c r="F45" s="5">
        <v>10</v>
      </c>
      <c r="G45" s="6">
        <v>221.53</v>
      </c>
      <c r="H45" s="6">
        <v>132.57</v>
      </c>
      <c r="I45" s="7">
        <v>0.2</v>
      </c>
      <c r="J45" s="8">
        <f t="shared" si="4"/>
        <v>1772.2400000000002</v>
      </c>
      <c r="K45" s="8">
        <f t="shared" si="5"/>
        <v>711.68000000000029</v>
      </c>
      <c r="L45" s="9" t="str">
        <f t="shared" si="6"/>
        <v>Apr-26</v>
      </c>
      <c r="M45" s="10">
        <f t="shared" ca="1" si="7"/>
        <v>46275.438352662037</v>
      </c>
    </row>
    <row r="46" spans="1:13" x14ac:dyDescent="0.3">
      <c r="A46" s="3">
        <v>1045</v>
      </c>
      <c r="B46" s="3" t="s">
        <v>53</v>
      </c>
      <c r="C46" s="3" t="s">
        <v>26</v>
      </c>
      <c r="D46" s="3" t="s">
        <v>37</v>
      </c>
      <c r="E46" s="4" t="s">
        <v>79</v>
      </c>
      <c r="F46" s="5">
        <v>4</v>
      </c>
      <c r="G46" s="6">
        <v>155.52000000000001</v>
      </c>
      <c r="H46" s="6">
        <v>90.49</v>
      </c>
      <c r="I46" s="7">
        <v>0.05</v>
      </c>
      <c r="J46" s="8">
        <f t="shared" si="4"/>
        <v>590.976</v>
      </c>
      <c r="K46" s="8">
        <f t="shared" si="5"/>
        <v>247.11400000000003</v>
      </c>
      <c r="L46" s="9" t="str">
        <f t="shared" si="6"/>
        <v>Apr-26</v>
      </c>
      <c r="M46" s="10">
        <f t="shared" ca="1" si="7"/>
        <v>46275.438352662037</v>
      </c>
    </row>
    <row r="47" spans="1:13" x14ac:dyDescent="0.3">
      <c r="A47" s="3">
        <v>1046</v>
      </c>
      <c r="B47" s="3" t="s">
        <v>32</v>
      </c>
      <c r="C47" s="3" t="s">
        <v>26</v>
      </c>
      <c r="D47" s="3" t="s">
        <v>37</v>
      </c>
      <c r="E47" s="4" t="s">
        <v>84</v>
      </c>
      <c r="F47" s="5">
        <v>10</v>
      </c>
      <c r="G47" s="6">
        <v>156.97999999999999</v>
      </c>
      <c r="H47" s="6">
        <v>86.9</v>
      </c>
      <c r="I47" s="7">
        <v>0.2</v>
      </c>
      <c r="J47" s="8">
        <f t="shared" si="4"/>
        <v>1255.8400000000001</v>
      </c>
      <c r="K47" s="8">
        <f t="shared" si="5"/>
        <v>560.6400000000001</v>
      </c>
      <c r="L47" s="9" t="str">
        <f t="shared" si="6"/>
        <v>Apr-26</v>
      </c>
      <c r="M47" s="10">
        <f t="shared" ca="1" si="7"/>
        <v>46275.438352662037</v>
      </c>
    </row>
    <row r="48" spans="1:13" x14ac:dyDescent="0.3">
      <c r="A48" s="3">
        <v>1047</v>
      </c>
      <c r="B48" s="3" t="s">
        <v>36</v>
      </c>
      <c r="C48" s="3" t="s">
        <v>26</v>
      </c>
      <c r="D48" s="3" t="s">
        <v>27</v>
      </c>
      <c r="E48" s="4" t="s">
        <v>85</v>
      </c>
      <c r="F48" s="5">
        <v>9</v>
      </c>
      <c r="G48" s="6">
        <v>92.76</v>
      </c>
      <c r="H48" s="6">
        <v>57.77</v>
      </c>
      <c r="I48" s="7">
        <v>0.2</v>
      </c>
      <c r="J48" s="8">
        <f t="shared" si="4"/>
        <v>667.87200000000007</v>
      </c>
      <c r="K48" s="8">
        <f t="shared" si="5"/>
        <v>251.928</v>
      </c>
      <c r="L48" s="9" t="str">
        <f t="shared" si="6"/>
        <v>Apr-26</v>
      </c>
      <c r="M48" s="10">
        <f t="shared" ca="1" si="7"/>
        <v>46275.438352662037</v>
      </c>
    </row>
    <row r="49" spans="1:13" x14ac:dyDescent="0.3">
      <c r="A49" s="3">
        <v>1048</v>
      </c>
      <c r="B49" s="3" t="s">
        <v>29</v>
      </c>
      <c r="C49" s="3" t="s">
        <v>30</v>
      </c>
      <c r="D49" s="3" t="s">
        <v>37</v>
      </c>
      <c r="E49" s="4" t="s">
        <v>86</v>
      </c>
      <c r="F49" s="5">
        <v>9</v>
      </c>
      <c r="G49" s="6">
        <v>144.30000000000001</v>
      </c>
      <c r="H49" s="6">
        <v>89.31</v>
      </c>
      <c r="I49" s="7">
        <v>0</v>
      </c>
      <c r="J49" s="8">
        <f t="shared" si="4"/>
        <v>1298.7</v>
      </c>
      <c r="K49" s="8">
        <f t="shared" si="5"/>
        <v>494.91000000000008</v>
      </c>
      <c r="L49" s="9" t="str">
        <f t="shared" si="6"/>
        <v>Apr-26</v>
      </c>
      <c r="M49" s="10">
        <f t="shared" ca="1" si="7"/>
        <v>46275.438352662037</v>
      </c>
    </row>
    <row r="50" spans="1:13" x14ac:dyDescent="0.3">
      <c r="A50" s="3">
        <v>1049</v>
      </c>
      <c r="B50" s="3" t="s">
        <v>41</v>
      </c>
      <c r="C50" s="3" t="s">
        <v>30</v>
      </c>
      <c r="D50" s="3" t="s">
        <v>23</v>
      </c>
      <c r="E50" s="4" t="s">
        <v>87</v>
      </c>
      <c r="F50" s="5">
        <v>15</v>
      </c>
      <c r="G50" s="6">
        <v>227.22</v>
      </c>
      <c r="H50" s="6">
        <v>128.86000000000001</v>
      </c>
      <c r="I50" s="7">
        <v>0.2</v>
      </c>
      <c r="J50" s="8">
        <f t="shared" si="4"/>
        <v>2726.6400000000003</v>
      </c>
      <c r="K50" s="8">
        <f t="shared" si="5"/>
        <v>1180.3200000000002</v>
      </c>
      <c r="L50" s="9" t="str">
        <f t="shared" si="6"/>
        <v>Apr-26</v>
      </c>
      <c r="M50" s="10">
        <f t="shared" ca="1" si="7"/>
        <v>46275.438352662037</v>
      </c>
    </row>
    <row r="51" spans="1:13" x14ac:dyDescent="0.3">
      <c r="A51" s="3">
        <v>1050</v>
      </c>
      <c r="B51" s="3" t="s">
        <v>70</v>
      </c>
      <c r="C51" s="3" t="s">
        <v>26</v>
      </c>
      <c r="D51" s="3" t="s">
        <v>37</v>
      </c>
      <c r="E51" s="4" t="s">
        <v>88</v>
      </c>
      <c r="F51" s="5">
        <v>5</v>
      </c>
      <c r="G51" s="6">
        <v>144.68</v>
      </c>
      <c r="H51" s="6">
        <v>94.01</v>
      </c>
      <c r="I51" s="7">
        <v>0.2</v>
      </c>
      <c r="J51" s="8">
        <f t="shared" si="4"/>
        <v>578.72000000000014</v>
      </c>
      <c r="K51" s="8">
        <f t="shared" si="5"/>
        <v>202.68000000000012</v>
      </c>
      <c r="L51" s="9" t="str">
        <f t="shared" si="6"/>
        <v>Apr-26</v>
      </c>
      <c r="M51" s="10">
        <f t="shared" ca="1" si="7"/>
        <v>46275.438352662037</v>
      </c>
    </row>
    <row r="52" spans="1:13" x14ac:dyDescent="0.3">
      <c r="A52" s="3">
        <v>1051</v>
      </c>
      <c r="B52" s="3" t="s">
        <v>62</v>
      </c>
      <c r="C52" s="3" t="s">
        <v>30</v>
      </c>
      <c r="D52" s="3" t="s">
        <v>27</v>
      </c>
      <c r="E52" s="4" t="s">
        <v>89</v>
      </c>
      <c r="F52" s="5">
        <v>5</v>
      </c>
      <c r="G52" s="6">
        <v>97.44</v>
      </c>
      <c r="H52" s="6">
        <v>54.99</v>
      </c>
      <c r="I52" s="7">
        <v>0</v>
      </c>
      <c r="J52" s="8">
        <f t="shared" si="4"/>
        <v>487.2</v>
      </c>
      <c r="K52" s="8">
        <f t="shared" si="5"/>
        <v>212.25</v>
      </c>
      <c r="L52" s="9" t="str">
        <f t="shared" si="6"/>
        <v>May-26</v>
      </c>
      <c r="M52" s="10">
        <f t="shared" ca="1" si="7"/>
        <v>46275.438352662037</v>
      </c>
    </row>
    <row r="53" spans="1:13" x14ac:dyDescent="0.3">
      <c r="A53" s="3">
        <v>1052</v>
      </c>
      <c r="B53" s="3" t="s">
        <v>41</v>
      </c>
      <c r="C53" s="3" t="s">
        <v>30</v>
      </c>
      <c r="D53" s="3" t="s">
        <v>37</v>
      </c>
      <c r="E53" s="4" t="s">
        <v>90</v>
      </c>
      <c r="F53" s="5">
        <v>8</v>
      </c>
      <c r="G53" s="6">
        <v>160.03</v>
      </c>
      <c r="H53" s="6">
        <v>87.39</v>
      </c>
      <c r="I53" s="7">
        <v>0</v>
      </c>
      <c r="J53" s="8">
        <f t="shared" si="4"/>
        <v>1280.24</v>
      </c>
      <c r="K53" s="8">
        <f t="shared" si="5"/>
        <v>581.12</v>
      </c>
      <c r="L53" s="9" t="str">
        <f t="shared" si="6"/>
        <v>May-26</v>
      </c>
      <c r="M53" s="10">
        <f t="shared" ca="1" si="7"/>
        <v>46275.438352662037</v>
      </c>
    </row>
    <row r="54" spans="1:13" x14ac:dyDescent="0.3">
      <c r="A54" s="3">
        <v>1053</v>
      </c>
      <c r="B54" s="3" t="s">
        <v>58</v>
      </c>
      <c r="C54" s="3" t="s">
        <v>30</v>
      </c>
      <c r="D54" s="3" t="s">
        <v>34</v>
      </c>
      <c r="E54" s="4" t="s">
        <v>91</v>
      </c>
      <c r="F54" s="5">
        <v>8</v>
      </c>
      <c r="G54" s="6">
        <v>279.92</v>
      </c>
      <c r="H54" s="6">
        <v>159.88999999999999</v>
      </c>
      <c r="I54" s="7">
        <v>0.05</v>
      </c>
      <c r="J54" s="8">
        <f t="shared" si="4"/>
        <v>2127.3919999999998</v>
      </c>
      <c r="K54" s="8">
        <f t="shared" si="5"/>
        <v>912.22800000000007</v>
      </c>
      <c r="L54" s="9" t="str">
        <f t="shared" si="6"/>
        <v>May-26</v>
      </c>
      <c r="M54" s="10">
        <f t="shared" ca="1" si="7"/>
        <v>46275.438352662037</v>
      </c>
    </row>
    <row r="55" spans="1:13" x14ac:dyDescent="0.3">
      <c r="A55" s="3">
        <v>1054</v>
      </c>
      <c r="B55" s="3" t="s">
        <v>58</v>
      </c>
      <c r="C55" s="3" t="s">
        <v>30</v>
      </c>
      <c r="D55" s="3" t="s">
        <v>23</v>
      </c>
      <c r="E55" s="4" t="s">
        <v>91</v>
      </c>
      <c r="F55" s="5">
        <v>11</v>
      </c>
      <c r="G55" s="6">
        <v>234.21</v>
      </c>
      <c r="H55" s="6">
        <v>125.73</v>
      </c>
      <c r="I55" s="7">
        <v>0.15</v>
      </c>
      <c r="J55" s="8">
        <f t="shared" si="4"/>
        <v>2189.8634999999999</v>
      </c>
      <c r="K55" s="8">
        <f t="shared" si="5"/>
        <v>1014.288</v>
      </c>
      <c r="L55" s="9" t="str">
        <f t="shared" si="6"/>
        <v>May-26</v>
      </c>
      <c r="M55" s="10">
        <f t="shared" ca="1" si="7"/>
        <v>46275.438352662037</v>
      </c>
    </row>
    <row r="56" spans="1:13" x14ac:dyDescent="0.3">
      <c r="A56" s="3">
        <v>1055</v>
      </c>
      <c r="B56" s="3" t="s">
        <v>53</v>
      </c>
      <c r="C56" s="3" t="s">
        <v>26</v>
      </c>
      <c r="D56" s="3" t="s">
        <v>23</v>
      </c>
      <c r="E56" s="4" t="s">
        <v>92</v>
      </c>
      <c r="F56" s="5">
        <v>4</v>
      </c>
      <c r="G56" s="6">
        <v>216.63</v>
      </c>
      <c r="H56" s="6">
        <v>135.79</v>
      </c>
      <c r="I56" s="7">
        <v>0.15</v>
      </c>
      <c r="J56" s="8">
        <f t="shared" si="4"/>
        <v>736.54199999999992</v>
      </c>
      <c r="K56" s="8">
        <f t="shared" si="5"/>
        <v>274.85599999999994</v>
      </c>
      <c r="L56" s="9" t="str">
        <f t="shared" si="6"/>
        <v>May-26</v>
      </c>
      <c r="M56" s="10">
        <f t="shared" ca="1" si="7"/>
        <v>46275.438352662037</v>
      </c>
    </row>
    <row r="57" spans="1:13" x14ac:dyDescent="0.3">
      <c r="A57" s="3">
        <v>1056</v>
      </c>
      <c r="B57" s="3" t="s">
        <v>78</v>
      </c>
      <c r="C57" s="3" t="s">
        <v>26</v>
      </c>
      <c r="D57" s="3" t="s">
        <v>34</v>
      </c>
      <c r="E57" s="4" t="s">
        <v>89</v>
      </c>
      <c r="F57" s="5">
        <v>15</v>
      </c>
      <c r="G57" s="6">
        <v>254.52</v>
      </c>
      <c r="H57" s="6">
        <v>160.94</v>
      </c>
      <c r="I57" s="7">
        <v>0.1</v>
      </c>
      <c r="J57" s="8">
        <f t="shared" si="4"/>
        <v>3436.0200000000004</v>
      </c>
      <c r="K57" s="8">
        <f t="shared" si="5"/>
        <v>1263.3300000000004</v>
      </c>
      <c r="L57" s="9" t="str">
        <f t="shared" si="6"/>
        <v>May-26</v>
      </c>
      <c r="M57" s="10">
        <f t="shared" ca="1" si="7"/>
        <v>46275.438352662037</v>
      </c>
    </row>
    <row r="58" spans="1:13" x14ac:dyDescent="0.3">
      <c r="A58" s="3">
        <v>1057</v>
      </c>
      <c r="B58" s="3" t="s">
        <v>62</v>
      </c>
      <c r="C58" s="3" t="s">
        <v>30</v>
      </c>
      <c r="D58" s="3" t="s">
        <v>23</v>
      </c>
      <c r="E58" s="4" t="s">
        <v>93</v>
      </c>
      <c r="F58" s="5">
        <v>13</v>
      </c>
      <c r="G58" s="6">
        <v>215.38</v>
      </c>
      <c r="H58" s="6">
        <v>134.11000000000001</v>
      </c>
      <c r="I58" s="7">
        <v>0.1</v>
      </c>
      <c r="J58" s="8">
        <f t="shared" si="4"/>
        <v>2519.9459999999999</v>
      </c>
      <c r="K58" s="8">
        <f t="shared" si="5"/>
        <v>950.8589999999997</v>
      </c>
      <c r="L58" s="9" t="str">
        <f t="shared" si="6"/>
        <v>May-26</v>
      </c>
      <c r="M58" s="10">
        <f t="shared" ca="1" si="7"/>
        <v>46275.438352662037</v>
      </c>
    </row>
    <row r="59" spans="1:13" x14ac:dyDescent="0.3">
      <c r="A59" s="3">
        <v>1058</v>
      </c>
      <c r="B59" s="3" t="s">
        <v>62</v>
      </c>
      <c r="C59" s="3" t="s">
        <v>30</v>
      </c>
      <c r="D59" s="3" t="s">
        <v>37</v>
      </c>
      <c r="E59" s="4" t="s">
        <v>94</v>
      </c>
      <c r="F59" s="5">
        <v>17</v>
      </c>
      <c r="G59" s="6">
        <v>161.35</v>
      </c>
      <c r="H59" s="6">
        <v>88.01</v>
      </c>
      <c r="I59" s="7">
        <v>0.15</v>
      </c>
      <c r="J59" s="8">
        <f t="shared" si="4"/>
        <v>2331.5074999999997</v>
      </c>
      <c r="K59" s="8">
        <f t="shared" si="5"/>
        <v>1059.7629999999997</v>
      </c>
      <c r="L59" s="9" t="str">
        <f t="shared" si="6"/>
        <v>May-26</v>
      </c>
      <c r="M59" s="10">
        <f t="shared" ca="1" si="7"/>
        <v>46275.438352662037</v>
      </c>
    </row>
    <row r="60" spans="1:13" x14ac:dyDescent="0.3">
      <c r="A60" s="3">
        <v>1059</v>
      </c>
      <c r="B60" s="3" t="s">
        <v>62</v>
      </c>
      <c r="C60" s="3" t="s">
        <v>30</v>
      </c>
      <c r="D60" s="3" t="s">
        <v>27</v>
      </c>
      <c r="E60" s="4" t="s">
        <v>95</v>
      </c>
      <c r="F60" s="5">
        <v>9</v>
      </c>
      <c r="G60" s="6">
        <v>101.85</v>
      </c>
      <c r="H60" s="6">
        <v>54.81</v>
      </c>
      <c r="I60" s="7">
        <v>0.05</v>
      </c>
      <c r="J60" s="8">
        <f t="shared" si="4"/>
        <v>870.81749999999988</v>
      </c>
      <c r="K60" s="8">
        <f t="shared" si="5"/>
        <v>402.19199999999989</v>
      </c>
      <c r="L60" s="9" t="str">
        <f t="shared" si="6"/>
        <v>May-26</v>
      </c>
      <c r="M60" s="10">
        <f t="shared" ca="1" si="7"/>
        <v>46275.438352662037</v>
      </c>
    </row>
    <row r="61" spans="1:13" x14ac:dyDescent="0.3">
      <c r="A61" s="3">
        <v>1060</v>
      </c>
      <c r="B61" s="3" t="s">
        <v>29</v>
      </c>
      <c r="C61" s="3" t="s">
        <v>30</v>
      </c>
      <c r="D61" s="3" t="s">
        <v>37</v>
      </c>
      <c r="E61" s="4" t="s">
        <v>96</v>
      </c>
      <c r="F61" s="5">
        <v>11</v>
      </c>
      <c r="G61" s="6">
        <v>144.61000000000001</v>
      </c>
      <c r="H61" s="6">
        <v>89.41</v>
      </c>
      <c r="I61" s="7">
        <v>0.15</v>
      </c>
      <c r="J61" s="8">
        <f t="shared" si="4"/>
        <v>1352.1034999999999</v>
      </c>
      <c r="K61" s="8">
        <f t="shared" si="5"/>
        <v>516.12</v>
      </c>
      <c r="L61" s="9" t="str">
        <f t="shared" si="6"/>
        <v>May-26</v>
      </c>
      <c r="M61" s="10">
        <f t="shared" ca="1" si="7"/>
        <v>46275.438352662037</v>
      </c>
    </row>
    <row r="62" spans="1:13" x14ac:dyDescent="0.3">
      <c r="A62" s="3">
        <v>1061</v>
      </c>
      <c r="B62" s="3" t="s">
        <v>21</v>
      </c>
      <c r="C62" s="3" t="s">
        <v>22</v>
      </c>
      <c r="D62" s="3" t="s">
        <v>37</v>
      </c>
      <c r="E62" s="4" t="s">
        <v>97</v>
      </c>
      <c r="F62" s="5">
        <v>9</v>
      </c>
      <c r="G62" s="6">
        <v>150.01</v>
      </c>
      <c r="H62" s="6">
        <v>90.69</v>
      </c>
      <c r="I62" s="7">
        <v>0</v>
      </c>
      <c r="J62" s="8">
        <f t="shared" si="4"/>
        <v>1350.09</v>
      </c>
      <c r="K62" s="8">
        <f t="shared" si="5"/>
        <v>533.87999999999988</v>
      </c>
      <c r="L62" s="9" t="str">
        <f t="shared" si="6"/>
        <v>May-26</v>
      </c>
      <c r="M62" s="10">
        <f t="shared" ca="1" si="7"/>
        <v>46275.438352662037</v>
      </c>
    </row>
    <row r="63" spans="1:13" x14ac:dyDescent="0.3">
      <c r="A63" s="3">
        <v>1062</v>
      </c>
      <c r="B63" s="3" t="s">
        <v>70</v>
      </c>
      <c r="C63" s="3" t="s">
        <v>26</v>
      </c>
      <c r="D63" s="3" t="s">
        <v>37</v>
      </c>
      <c r="E63" s="4" t="s">
        <v>98</v>
      </c>
      <c r="F63" s="5">
        <v>7</v>
      </c>
      <c r="G63" s="6">
        <v>152.63999999999999</v>
      </c>
      <c r="H63" s="6">
        <v>92.76</v>
      </c>
      <c r="I63" s="7">
        <v>0.1</v>
      </c>
      <c r="J63" s="8">
        <f t="shared" si="4"/>
        <v>961.63200000000006</v>
      </c>
      <c r="K63" s="8">
        <f t="shared" si="5"/>
        <v>377.24400000000003</v>
      </c>
      <c r="L63" s="9" t="str">
        <f t="shared" si="6"/>
        <v>May-26</v>
      </c>
      <c r="M63" s="10">
        <f t="shared" ca="1" si="7"/>
        <v>46275.438352662037</v>
      </c>
    </row>
    <row r="64" spans="1:13" x14ac:dyDescent="0.3">
      <c r="A64" s="3">
        <v>1063</v>
      </c>
      <c r="B64" s="3" t="s">
        <v>32</v>
      </c>
      <c r="C64" s="3" t="s">
        <v>26</v>
      </c>
      <c r="D64" s="3" t="s">
        <v>27</v>
      </c>
      <c r="E64" s="4" t="s">
        <v>99</v>
      </c>
      <c r="F64" s="5">
        <v>4</v>
      </c>
      <c r="G64" s="6">
        <v>97.95</v>
      </c>
      <c r="H64" s="6">
        <v>57.93</v>
      </c>
      <c r="I64" s="7">
        <v>0.1</v>
      </c>
      <c r="J64" s="8">
        <f t="shared" si="4"/>
        <v>352.62</v>
      </c>
      <c r="K64" s="8">
        <f t="shared" si="5"/>
        <v>144.072</v>
      </c>
      <c r="L64" s="9" t="str">
        <f t="shared" si="6"/>
        <v>May-26</v>
      </c>
      <c r="M64" s="10">
        <f t="shared" ca="1" si="7"/>
        <v>46275.438352662037</v>
      </c>
    </row>
    <row r="65" spans="1:13" x14ac:dyDescent="0.3">
      <c r="A65" s="3">
        <v>1064</v>
      </c>
      <c r="B65" s="3" t="s">
        <v>29</v>
      </c>
      <c r="C65" s="3" t="s">
        <v>30</v>
      </c>
      <c r="D65" s="3" t="s">
        <v>34</v>
      </c>
      <c r="E65" s="4" t="s">
        <v>100</v>
      </c>
      <c r="F65" s="5">
        <v>18</v>
      </c>
      <c r="G65" s="6">
        <v>258.02</v>
      </c>
      <c r="H65" s="6">
        <v>159.08000000000001</v>
      </c>
      <c r="I65" s="7">
        <v>0.05</v>
      </c>
      <c r="J65" s="8">
        <f t="shared" si="4"/>
        <v>4412.1419999999998</v>
      </c>
      <c r="K65" s="8">
        <f t="shared" si="5"/>
        <v>1691.8739999999998</v>
      </c>
      <c r="L65" s="9" t="str">
        <f t="shared" si="6"/>
        <v>May-26</v>
      </c>
      <c r="M65" s="10">
        <f t="shared" ca="1" si="7"/>
        <v>46275.438352662037</v>
      </c>
    </row>
    <row r="66" spans="1:13" x14ac:dyDescent="0.3">
      <c r="A66" s="3">
        <v>1065</v>
      </c>
      <c r="B66" s="3" t="s">
        <v>70</v>
      </c>
      <c r="C66" s="3" t="s">
        <v>26</v>
      </c>
      <c r="D66" s="3" t="s">
        <v>34</v>
      </c>
      <c r="E66" s="4" t="s">
        <v>101</v>
      </c>
      <c r="F66" s="5">
        <v>10</v>
      </c>
      <c r="G66" s="6">
        <v>269.89</v>
      </c>
      <c r="H66" s="6">
        <v>162.28</v>
      </c>
      <c r="I66" s="7">
        <v>0.15</v>
      </c>
      <c r="J66" s="8">
        <f t="shared" ref="J66:J82" si="8">F66*G66*(1-I66)</f>
        <v>2294.0649999999996</v>
      </c>
      <c r="K66" s="8">
        <f t="shared" ref="K66:K82" si="9">J66-(F66*H66*(1-I66))</f>
        <v>914.68499999999972</v>
      </c>
      <c r="L66" s="9" t="str">
        <f t="shared" ref="L66:L82" si="10">TEXT(E66,"mmm-yy")</f>
        <v>May-26</v>
      </c>
      <c r="M66" s="10">
        <f t="shared" ref="M66:M82" ca="1" si="11">NOW()</f>
        <v>46275.438352662037</v>
      </c>
    </row>
    <row r="67" spans="1:13" x14ac:dyDescent="0.3">
      <c r="A67" s="3">
        <v>1066</v>
      </c>
      <c r="B67" s="3" t="s">
        <v>62</v>
      </c>
      <c r="C67" s="3" t="s">
        <v>30</v>
      </c>
      <c r="D67" s="3" t="s">
        <v>37</v>
      </c>
      <c r="E67" s="4" t="s">
        <v>102</v>
      </c>
      <c r="F67" s="5">
        <v>11</v>
      </c>
      <c r="G67" s="6">
        <v>148.43</v>
      </c>
      <c r="H67" s="6">
        <v>87.39</v>
      </c>
      <c r="I67" s="7">
        <v>0.15</v>
      </c>
      <c r="J67" s="8">
        <f t="shared" si="8"/>
        <v>1387.8205</v>
      </c>
      <c r="K67" s="8">
        <f t="shared" si="9"/>
        <v>570.72400000000005</v>
      </c>
      <c r="L67" s="9" t="str">
        <f t="shared" si="10"/>
        <v>Jun-26</v>
      </c>
      <c r="M67" s="10">
        <f t="shared" ca="1" si="11"/>
        <v>46275.438352662037</v>
      </c>
    </row>
    <row r="68" spans="1:13" x14ac:dyDescent="0.3">
      <c r="A68" s="3">
        <v>1067</v>
      </c>
      <c r="B68" s="3" t="s">
        <v>47</v>
      </c>
      <c r="C68" s="3" t="s">
        <v>26</v>
      </c>
      <c r="D68" s="3" t="s">
        <v>23</v>
      </c>
      <c r="E68" s="4" t="s">
        <v>103</v>
      </c>
      <c r="F68" s="5">
        <v>6</v>
      </c>
      <c r="G68" s="6">
        <v>223.62</v>
      </c>
      <c r="H68" s="6">
        <v>135.88</v>
      </c>
      <c r="I68" s="7">
        <v>0</v>
      </c>
      <c r="J68" s="8">
        <f t="shared" si="8"/>
        <v>1341.72</v>
      </c>
      <c r="K68" s="8">
        <f t="shared" si="9"/>
        <v>526.44000000000005</v>
      </c>
      <c r="L68" s="9" t="str">
        <f t="shared" si="10"/>
        <v>Jun-26</v>
      </c>
      <c r="M68" s="10">
        <f t="shared" ca="1" si="11"/>
        <v>46275.438352662037</v>
      </c>
    </row>
    <row r="69" spans="1:13" x14ac:dyDescent="0.3">
      <c r="A69" s="3">
        <v>1068</v>
      </c>
      <c r="B69" s="3" t="s">
        <v>21</v>
      </c>
      <c r="C69" s="3" t="s">
        <v>22</v>
      </c>
      <c r="D69" s="3" t="s">
        <v>27</v>
      </c>
      <c r="E69" s="4" t="s">
        <v>104</v>
      </c>
      <c r="F69" s="5">
        <v>8</v>
      </c>
      <c r="G69" s="6">
        <v>91.4</v>
      </c>
      <c r="H69" s="6">
        <v>59.58</v>
      </c>
      <c r="I69" s="7">
        <v>0.1</v>
      </c>
      <c r="J69" s="8">
        <f t="shared" si="8"/>
        <v>658.08</v>
      </c>
      <c r="K69" s="8">
        <f t="shared" si="9"/>
        <v>229.10400000000004</v>
      </c>
      <c r="L69" s="9" t="str">
        <f t="shared" si="10"/>
        <v>Jun-26</v>
      </c>
      <c r="M69" s="10">
        <f t="shared" ca="1" si="11"/>
        <v>46275.438352662037</v>
      </c>
    </row>
    <row r="70" spans="1:13" x14ac:dyDescent="0.3">
      <c r="A70" s="3">
        <v>1069</v>
      </c>
      <c r="B70" s="3" t="s">
        <v>58</v>
      </c>
      <c r="C70" s="3" t="s">
        <v>30</v>
      </c>
      <c r="D70" s="3" t="s">
        <v>23</v>
      </c>
      <c r="E70" s="4" t="s">
        <v>105</v>
      </c>
      <c r="F70" s="5">
        <v>16</v>
      </c>
      <c r="G70" s="6">
        <v>213.21</v>
      </c>
      <c r="H70" s="6">
        <v>126.01</v>
      </c>
      <c r="I70" s="7">
        <v>0.2</v>
      </c>
      <c r="J70" s="8">
        <f t="shared" si="8"/>
        <v>2729.0880000000002</v>
      </c>
      <c r="K70" s="8">
        <f t="shared" si="9"/>
        <v>1116.1600000000001</v>
      </c>
      <c r="L70" s="9" t="str">
        <f t="shared" si="10"/>
        <v>Jun-26</v>
      </c>
      <c r="M70" s="10">
        <f t="shared" ca="1" si="11"/>
        <v>46275.438352662037</v>
      </c>
    </row>
    <row r="71" spans="1:13" x14ac:dyDescent="0.3">
      <c r="A71" s="3">
        <v>1070</v>
      </c>
      <c r="B71" s="3" t="s">
        <v>58</v>
      </c>
      <c r="C71" s="3" t="s">
        <v>30</v>
      </c>
      <c r="D71" s="3" t="s">
        <v>37</v>
      </c>
      <c r="E71" s="4" t="s">
        <v>106</v>
      </c>
      <c r="F71" s="5">
        <v>7</v>
      </c>
      <c r="G71" s="6">
        <v>151.38</v>
      </c>
      <c r="H71" s="6">
        <v>93.48</v>
      </c>
      <c r="I71" s="7">
        <v>0.15</v>
      </c>
      <c r="J71" s="8">
        <f t="shared" si="8"/>
        <v>900.7109999999999</v>
      </c>
      <c r="K71" s="8">
        <f t="shared" si="9"/>
        <v>344.50499999999988</v>
      </c>
      <c r="L71" s="9" t="str">
        <f t="shared" si="10"/>
        <v>Jun-26</v>
      </c>
      <c r="M71" s="10">
        <f t="shared" ca="1" si="11"/>
        <v>46275.438352662037</v>
      </c>
    </row>
    <row r="72" spans="1:13" x14ac:dyDescent="0.3">
      <c r="A72" s="3">
        <v>1071</v>
      </c>
      <c r="B72" s="3" t="s">
        <v>70</v>
      </c>
      <c r="C72" s="3" t="s">
        <v>26</v>
      </c>
      <c r="D72" s="3" t="s">
        <v>23</v>
      </c>
      <c r="E72" s="4" t="s">
        <v>104</v>
      </c>
      <c r="F72" s="5">
        <v>4</v>
      </c>
      <c r="G72" s="6">
        <v>213.22</v>
      </c>
      <c r="H72" s="6">
        <v>134.47999999999999</v>
      </c>
      <c r="I72" s="7">
        <v>0.15</v>
      </c>
      <c r="J72" s="8">
        <f t="shared" si="8"/>
        <v>724.94799999999998</v>
      </c>
      <c r="K72" s="8">
        <f t="shared" si="9"/>
        <v>267.71600000000001</v>
      </c>
      <c r="L72" s="9" t="str">
        <f t="shared" si="10"/>
        <v>Jun-26</v>
      </c>
      <c r="M72" s="10">
        <f t="shared" ca="1" si="11"/>
        <v>46275.438352662037</v>
      </c>
    </row>
    <row r="73" spans="1:13" x14ac:dyDescent="0.3">
      <c r="A73" s="3">
        <v>1072</v>
      </c>
      <c r="B73" s="3" t="s">
        <v>43</v>
      </c>
      <c r="C73" s="3" t="s">
        <v>44</v>
      </c>
      <c r="D73" s="3" t="s">
        <v>34</v>
      </c>
      <c r="E73" s="4" t="s">
        <v>107</v>
      </c>
      <c r="F73" s="5">
        <v>4</v>
      </c>
      <c r="G73" s="6">
        <v>248.7</v>
      </c>
      <c r="H73" s="6">
        <v>152.09</v>
      </c>
      <c r="I73" s="7">
        <v>0.15</v>
      </c>
      <c r="J73" s="8">
        <f t="shared" si="8"/>
        <v>845.57999999999993</v>
      </c>
      <c r="K73" s="8">
        <f t="shared" si="9"/>
        <v>328.47399999999993</v>
      </c>
      <c r="L73" s="9" t="str">
        <f t="shared" si="10"/>
        <v>Jun-26</v>
      </c>
      <c r="M73" s="10">
        <f t="shared" ca="1" si="11"/>
        <v>46275.438352662037</v>
      </c>
    </row>
    <row r="74" spans="1:13" x14ac:dyDescent="0.3">
      <c r="A74" s="3">
        <v>1073</v>
      </c>
      <c r="B74" s="3" t="s">
        <v>58</v>
      </c>
      <c r="C74" s="3" t="s">
        <v>30</v>
      </c>
      <c r="D74" s="3" t="s">
        <v>34</v>
      </c>
      <c r="E74" s="4" t="s">
        <v>108</v>
      </c>
      <c r="F74" s="5">
        <v>11</v>
      </c>
      <c r="G74" s="6">
        <v>269.56</v>
      </c>
      <c r="H74" s="6">
        <v>163.61000000000001</v>
      </c>
      <c r="I74" s="7">
        <v>0.15</v>
      </c>
      <c r="J74" s="8">
        <f t="shared" si="8"/>
        <v>2520.386</v>
      </c>
      <c r="K74" s="8">
        <f t="shared" si="9"/>
        <v>990.63249999999994</v>
      </c>
      <c r="L74" s="9" t="str">
        <f t="shared" si="10"/>
        <v>Jun-26</v>
      </c>
      <c r="M74" s="10">
        <f t="shared" ca="1" si="11"/>
        <v>46275.438352662037</v>
      </c>
    </row>
    <row r="75" spans="1:13" x14ac:dyDescent="0.3">
      <c r="A75" s="3">
        <v>1074</v>
      </c>
      <c r="B75" s="3" t="s">
        <v>62</v>
      </c>
      <c r="C75" s="3" t="s">
        <v>30</v>
      </c>
      <c r="D75" s="3" t="s">
        <v>34</v>
      </c>
      <c r="E75" s="4" t="s">
        <v>102</v>
      </c>
      <c r="F75" s="5">
        <v>6</v>
      </c>
      <c r="G75" s="6">
        <v>275.07</v>
      </c>
      <c r="H75" s="6">
        <v>156.75</v>
      </c>
      <c r="I75" s="7">
        <v>0.15</v>
      </c>
      <c r="J75" s="8">
        <f t="shared" si="8"/>
        <v>1402.857</v>
      </c>
      <c r="K75" s="8">
        <f t="shared" si="9"/>
        <v>603.43200000000002</v>
      </c>
      <c r="L75" s="9" t="str">
        <f t="shared" si="10"/>
        <v>Jun-26</v>
      </c>
      <c r="M75" s="10">
        <f t="shared" ca="1" si="11"/>
        <v>46275.438352662037</v>
      </c>
    </row>
    <row r="76" spans="1:13" x14ac:dyDescent="0.3">
      <c r="A76" s="3">
        <v>1075</v>
      </c>
      <c r="B76" s="3" t="s">
        <v>29</v>
      </c>
      <c r="C76" s="3" t="s">
        <v>30</v>
      </c>
      <c r="D76" s="3" t="s">
        <v>23</v>
      </c>
      <c r="E76" s="4" t="s">
        <v>109</v>
      </c>
      <c r="F76" s="5">
        <v>17</v>
      </c>
      <c r="G76" s="6">
        <v>233.02</v>
      </c>
      <c r="H76" s="6">
        <v>129.06</v>
      </c>
      <c r="I76" s="7">
        <v>0.15</v>
      </c>
      <c r="J76" s="8">
        <f t="shared" si="8"/>
        <v>3367.1390000000001</v>
      </c>
      <c r="K76" s="8">
        <f t="shared" si="9"/>
        <v>1502.2220000000002</v>
      </c>
      <c r="L76" s="9" t="str">
        <f t="shared" si="10"/>
        <v>Jun-26</v>
      </c>
      <c r="M76" s="10">
        <f t="shared" ca="1" si="11"/>
        <v>46275.438352662037</v>
      </c>
    </row>
    <row r="77" spans="1:13" x14ac:dyDescent="0.3">
      <c r="A77" s="3">
        <v>1076</v>
      </c>
      <c r="B77" s="3" t="s">
        <v>39</v>
      </c>
      <c r="C77" s="3" t="s">
        <v>30</v>
      </c>
      <c r="D77" s="3" t="s">
        <v>27</v>
      </c>
      <c r="E77" s="4" t="s">
        <v>110</v>
      </c>
      <c r="F77" s="5">
        <v>8</v>
      </c>
      <c r="G77" s="6">
        <v>95.68</v>
      </c>
      <c r="H77" s="6">
        <v>58.22</v>
      </c>
      <c r="I77" s="7">
        <v>0.1</v>
      </c>
      <c r="J77" s="8">
        <f t="shared" si="8"/>
        <v>688.89600000000007</v>
      </c>
      <c r="K77" s="8">
        <f t="shared" si="9"/>
        <v>269.71200000000005</v>
      </c>
      <c r="L77" s="9" t="str">
        <f t="shared" si="10"/>
        <v>Jun-26</v>
      </c>
      <c r="M77" s="10">
        <f t="shared" ca="1" si="11"/>
        <v>46275.438352662037</v>
      </c>
    </row>
    <row r="78" spans="1:13" x14ac:dyDescent="0.3">
      <c r="A78" s="3">
        <v>1077</v>
      </c>
      <c r="B78" s="3" t="s">
        <v>41</v>
      </c>
      <c r="C78" s="3" t="s">
        <v>30</v>
      </c>
      <c r="D78" s="3" t="s">
        <v>37</v>
      </c>
      <c r="E78" s="4" t="s">
        <v>111</v>
      </c>
      <c r="F78" s="5">
        <v>5</v>
      </c>
      <c r="G78" s="6">
        <v>145.19999999999999</v>
      </c>
      <c r="H78" s="6">
        <v>87.58</v>
      </c>
      <c r="I78" s="7">
        <v>0.05</v>
      </c>
      <c r="J78" s="8">
        <f t="shared" si="8"/>
        <v>689.69999999999993</v>
      </c>
      <c r="K78" s="8">
        <f t="shared" si="9"/>
        <v>273.69499999999999</v>
      </c>
      <c r="L78" s="9" t="str">
        <f t="shared" si="10"/>
        <v>Jun-26</v>
      </c>
      <c r="M78" s="10">
        <f t="shared" ca="1" si="11"/>
        <v>46275.438352662037</v>
      </c>
    </row>
    <row r="79" spans="1:13" x14ac:dyDescent="0.3">
      <c r="A79" s="3">
        <v>1078</v>
      </c>
      <c r="B79" s="3" t="s">
        <v>70</v>
      </c>
      <c r="C79" s="3" t="s">
        <v>26</v>
      </c>
      <c r="D79" s="3" t="s">
        <v>34</v>
      </c>
      <c r="E79" s="4" t="s">
        <v>112</v>
      </c>
      <c r="F79" s="5">
        <v>2</v>
      </c>
      <c r="G79" s="6">
        <v>258.18</v>
      </c>
      <c r="H79" s="6">
        <v>155.47</v>
      </c>
      <c r="I79" s="7">
        <v>0.05</v>
      </c>
      <c r="J79" s="8">
        <f t="shared" si="8"/>
        <v>490.54199999999997</v>
      </c>
      <c r="K79" s="8">
        <f t="shared" si="9"/>
        <v>195.149</v>
      </c>
      <c r="L79" s="9" t="str">
        <f t="shared" si="10"/>
        <v>Jun-26</v>
      </c>
      <c r="M79" s="10">
        <f t="shared" ca="1" si="11"/>
        <v>46275.438352662037</v>
      </c>
    </row>
    <row r="80" spans="1:13" x14ac:dyDescent="0.3">
      <c r="A80" s="3">
        <v>1079</v>
      </c>
      <c r="B80" s="3" t="s">
        <v>70</v>
      </c>
      <c r="C80" s="3" t="s">
        <v>26</v>
      </c>
      <c r="D80" s="3" t="s">
        <v>34</v>
      </c>
      <c r="E80" s="4" t="s">
        <v>113</v>
      </c>
      <c r="F80" s="5">
        <v>1</v>
      </c>
      <c r="G80" s="6">
        <v>277.58</v>
      </c>
      <c r="H80" s="6">
        <v>157.31</v>
      </c>
      <c r="I80" s="7">
        <v>0.2</v>
      </c>
      <c r="J80" s="8">
        <f t="shared" si="8"/>
        <v>222.06399999999999</v>
      </c>
      <c r="K80" s="8">
        <f t="shared" si="9"/>
        <v>96.21599999999998</v>
      </c>
      <c r="L80" s="9" t="str">
        <f t="shared" si="10"/>
        <v>Jun-26</v>
      </c>
      <c r="M80" s="10">
        <f t="shared" ca="1" si="11"/>
        <v>46275.438352662037</v>
      </c>
    </row>
    <row r="81" spans="1:13" x14ac:dyDescent="0.3">
      <c r="A81" s="3">
        <v>1080</v>
      </c>
      <c r="B81" s="3" t="s">
        <v>47</v>
      </c>
      <c r="C81" s="3" t="s">
        <v>26</v>
      </c>
      <c r="D81" s="3" t="s">
        <v>37</v>
      </c>
      <c r="E81" s="4" t="s">
        <v>114</v>
      </c>
      <c r="F81" s="5">
        <v>13</v>
      </c>
      <c r="G81" s="6">
        <v>160.88</v>
      </c>
      <c r="H81" s="6">
        <v>88.19</v>
      </c>
      <c r="I81" s="7">
        <v>0.15</v>
      </c>
      <c r="J81" s="8">
        <f t="shared" si="8"/>
        <v>1777.7239999999999</v>
      </c>
      <c r="K81" s="8">
        <f t="shared" si="9"/>
        <v>803.22449999999992</v>
      </c>
      <c r="L81" s="9" t="str">
        <f t="shared" si="10"/>
        <v>Jun-26</v>
      </c>
      <c r="M81" s="10">
        <f t="shared" ca="1" si="11"/>
        <v>46275.438352662037</v>
      </c>
    </row>
    <row r="82" spans="1:13" x14ac:dyDescent="0.3">
      <c r="A82" s="3">
        <v>1081</v>
      </c>
      <c r="B82" s="3" t="s">
        <v>36</v>
      </c>
      <c r="C82" s="3" t="s">
        <v>26</v>
      </c>
      <c r="D82" s="3" t="s">
        <v>23</v>
      </c>
      <c r="E82" s="4" t="s">
        <v>113</v>
      </c>
      <c r="F82" s="5">
        <v>16</v>
      </c>
      <c r="G82" s="6">
        <v>222.96</v>
      </c>
      <c r="H82" s="6">
        <v>129</v>
      </c>
      <c r="I82" s="7">
        <v>0</v>
      </c>
      <c r="J82" s="8">
        <f t="shared" si="8"/>
        <v>3567.36</v>
      </c>
      <c r="K82" s="8">
        <f t="shared" si="9"/>
        <v>1503.3600000000001</v>
      </c>
      <c r="L82" s="9" t="str">
        <f t="shared" si="10"/>
        <v>Jun-26</v>
      </c>
      <c r="M82" s="10">
        <f t="shared" ca="1" si="11"/>
        <v>46275.438352662037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zoomScaleNormal="100" workbookViewId="0">
      <selection activeCell="A20" sqref="A20:XFD20"/>
    </sheetView>
  </sheetViews>
  <sheetFormatPr defaultColWidth="8.6640625" defaultRowHeight="14.4" x14ac:dyDescent="0.3"/>
  <cols>
    <col min="1" max="2" width="22" customWidth="1"/>
    <col min="3" max="3" width="16" customWidth="1"/>
  </cols>
  <sheetData>
    <row r="1" spans="1:3" ht="21" x14ac:dyDescent="0.4">
      <c r="A1" s="38" t="s">
        <v>115</v>
      </c>
      <c r="B1" s="38"/>
      <c r="C1" s="38"/>
    </row>
    <row r="3" spans="1:3" ht="27.6" x14ac:dyDescent="0.3">
      <c r="A3" s="1" t="s">
        <v>116</v>
      </c>
      <c r="B3" s="1" t="s">
        <v>117</v>
      </c>
      <c r="C3" s="1" t="s">
        <v>2</v>
      </c>
    </row>
    <row r="4" spans="1:3" x14ac:dyDescent="0.3">
      <c r="A4" s="3" t="s">
        <v>78</v>
      </c>
      <c r="B4" s="8">
        <f>SUMIF('Sales Data'!$B$2:$B$82,A4,'Sales Data'!$J$2:$J$82)</f>
        <v>5741.2710000000006</v>
      </c>
      <c r="C4" s="8">
        <f>SUMIF('Sales Data'!$B$2:$B$82,A4,'Sales Data'!$K$2:$K$82)</f>
        <v>2180.1059999999998</v>
      </c>
    </row>
    <row r="5" spans="1:3" x14ac:dyDescent="0.3">
      <c r="A5" s="3" t="s">
        <v>32</v>
      </c>
      <c r="B5" s="8">
        <f>SUMIF('Sales Data'!$B$2:$B$82,A5,'Sales Data'!$J$2:$J$82)</f>
        <v>8769.0240000000013</v>
      </c>
      <c r="C5" s="8">
        <f>SUMIF('Sales Data'!$B$2:$B$82,A5,'Sales Data'!$K$2:$K$82)</f>
        <v>3571.4885000000004</v>
      </c>
    </row>
    <row r="6" spans="1:3" x14ac:dyDescent="0.3">
      <c r="A6" s="3" t="s">
        <v>43</v>
      </c>
      <c r="B6" s="8">
        <f>SUMIF('Sales Data'!$B$2:$B$82,A6,'Sales Data'!$J$2:$J$82)</f>
        <v>13221.465999999999</v>
      </c>
      <c r="C6" s="8">
        <f>SUMIF('Sales Data'!$B$2:$B$82,A6,'Sales Data'!$K$2:$K$82)</f>
        <v>5230.402</v>
      </c>
    </row>
    <row r="7" spans="1:3" x14ac:dyDescent="0.3">
      <c r="A7" s="3" t="s">
        <v>39</v>
      </c>
      <c r="B7" s="8">
        <f>SUMIF('Sales Data'!$B$2:$B$82,A7,'Sales Data'!$J$2:$J$82)</f>
        <v>5355.9204999999993</v>
      </c>
      <c r="C7" s="8">
        <f>SUMIF('Sales Data'!$B$2:$B$82,A7,'Sales Data'!$K$2:$K$82)</f>
        <v>2176.7694999999999</v>
      </c>
    </row>
    <row r="8" spans="1:3" x14ac:dyDescent="0.3">
      <c r="A8" s="3" t="s">
        <v>29</v>
      </c>
      <c r="B8" s="8">
        <f>SUMIF('Sales Data'!$B$2:$B$82,A8,'Sales Data'!$J$2:$J$82)</f>
        <v>13062.964499999998</v>
      </c>
      <c r="C8" s="8">
        <f>SUMIF('Sales Data'!$B$2:$B$82,A8,'Sales Data'!$K$2:$K$82)</f>
        <v>5235.5259999999998</v>
      </c>
    </row>
    <row r="9" spans="1:3" x14ac:dyDescent="0.3">
      <c r="A9" s="3" t="s">
        <v>41</v>
      </c>
      <c r="B9" s="8">
        <f>SUMIF('Sales Data'!$B$2:$B$82,A9,'Sales Data'!$J$2:$J$82)</f>
        <v>8971.1275000000023</v>
      </c>
      <c r="C9" s="8">
        <f>SUMIF('Sales Data'!$B$2:$B$82,A9,'Sales Data'!$K$2:$K$82)</f>
        <v>3638.8070000000002</v>
      </c>
    </row>
    <row r="10" spans="1:3" x14ac:dyDescent="0.3">
      <c r="A10" s="3" t="s">
        <v>70</v>
      </c>
      <c r="B10" s="8">
        <f>SUMIF('Sales Data'!$B$2:$B$82,A10,'Sales Data'!$J$2:$J$82)</f>
        <v>5937.902000000001</v>
      </c>
      <c r="C10" s="8">
        <f>SUMIF('Sales Data'!$B$2:$B$82,A10,'Sales Data'!$K$2:$K$82)</f>
        <v>2355.4004999999997</v>
      </c>
    </row>
    <row r="11" spans="1:3" x14ac:dyDescent="0.3">
      <c r="A11" s="3" t="s">
        <v>47</v>
      </c>
      <c r="B11" s="8">
        <f>SUMIF('Sales Data'!$B$2:$B$82,A11,'Sales Data'!$J$2:$J$82)</f>
        <v>7754.1340000000009</v>
      </c>
      <c r="C11" s="8">
        <f>SUMIF('Sales Data'!$B$2:$B$82,A11,'Sales Data'!$K$2:$K$82)</f>
        <v>3267.2594999999997</v>
      </c>
    </row>
    <row r="12" spans="1:3" x14ac:dyDescent="0.3">
      <c r="A12" s="3" t="s">
        <v>21</v>
      </c>
      <c r="B12" s="8">
        <f>SUMIF('Sales Data'!$B$2:$B$82,A12,'Sales Data'!$J$2:$J$82)</f>
        <v>10858.26</v>
      </c>
      <c r="C12" s="8">
        <f>SUMIF('Sales Data'!$B$2:$B$82,A12,'Sales Data'!$K$2:$K$82)</f>
        <v>4526.7820000000002</v>
      </c>
    </row>
    <row r="13" spans="1:3" x14ac:dyDescent="0.3">
      <c r="A13" s="3" t="s">
        <v>25</v>
      </c>
      <c r="B13" s="8">
        <f>SUMIF('Sales Data'!$B$2:$B$82,A13,'Sales Data'!$J$2:$J$82)</f>
        <v>511.27499999999998</v>
      </c>
      <c r="C13" s="8">
        <f>SUMIF('Sales Data'!$B$2:$B$82,A13,'Sales Data'!$K$2:$K$82)</f>
        <v>234.90600000000001</v>
      </c>
    </row>
    <row r="14" spans="1:3" x14ac:dyDescent="0.3">
      <c r="A14" s="3" t="s">
        <v>53</v>
      </c>
      <c r="B14" s="8">
        <f>SUMIF('Sales Data'!$B$2:$B$82,A14,'Sales Data'!$J$2:$J$82)</f>
        <v>4252.6919999999991</v>
      </c>
      <c r="C14" s="8">
        <f>SUMIF('Sales Data'!$B$2:$B$82,A14,'Sales Data'!$K$2:$K$82)</f>
        <v>1692.1779999999999</v>
      </c>
    </row>
    <row r="15" spans="1:3" x14ac:dyDescent="0.3">
      <c r="A15" s="3" t="s">
        <v>36</v>
      </c>
      <c r="B15" s="8">
        <f>SUMIF('Sales Data'!$B$2:$B$82,A15,'Sales Data'!$J$2:$J$82)</f>
        <v>7689.26</v>
      </c>
      <c r="C15" s="8">
        <f>SUMIF('Sales Data'!$B$2:$B$82,A15,'Sales Data'!$K$2:$K$82)</f>
        <v>3059.1379999999999</v>
      </c>
    </row>
    <row r="16" spans="1:3" x14ac:dyDescent="0.3">
      <c r="A16" s="3" t="s">
        <v>58</v>
      </c>
      <c r="B16" s="8">
        <f>SUMIF('Sales Data'!$B$2:$B$82,A16,'Sales Data'!$J$2:$J$82)</f>
        <v>14426.2405</v>
      </c>
      <c r="C16" s="8">
        <f>SUMIF('Sales Data'!$B$2:$B$82,A16,'Sales Data'!$K$2:$K$82)</f>
        <v>5935.5635000000002</v>
      </c>
    </row>
    <row r="17" spans="1:3" x14ac:dyDescent="0.3">
      <c r="A17" s="3" t="s">
        <v>62</v>
      </c>
      <c r="B17" s="8">
        <f>SUMIF('Sales Data'!$B$2:$B$82,A17,'Sales Data'!$J$2:$J$82)</f>
        <v>12033.500499999998</v>
      </c>
      <c r="C17" s="8">
        <f>SUMIF('Sales Data'!$B$2:$B$82,A17,'Sales Data'!$K$2:$K$82)</f>
        <v>5023.3554999999997</v>
      </c>
    </row>
    <row r="18" spans="1:3" x14ac:dyDescent="0.3">
      <c r="A18" s="3" t="s">
        <v>55</v>
      </c>
      <c r="B18" s="8">
        <f>SUMIF('Sales Data'!$B$2:$B$82,A18,'Sales Data'!$J$2:$J$82)</f>
        <v>2308.9700000000003</v>
      </c>
      <c r="C18" s="8">
        <f>SUMIF('Sales Data'!$B$2:$B$82,A18,'Sales Data'!$K$2:$K$82)</f>
        <v>950.28</v>
      </c>
    </row>
  </sheetData>
  <mergeCells count="1">
    <mergeCell ref="A1:C1"/>
  </mergeCells>
  <conditionalFormatting sqref="B4:B18">
    <cfRule type="top10" dxfId="0" priority="2" rank="10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zoomScaleNormal="100" workbookViewId="0">
      <selection activeCell="A19" sqref="A19:XFD19"/>
    </sheetView>
  </sheetViews>
  <sheetFormatPr defaultColWidth="8.6640625" defaultRowHeight="14.4" x14ac:dyDescent="0.3"/>
  <cols>
    <col min="1" max="1" width="34" customWidth="1"/>
    <col min="2" max="2" width="16" customWidth="1"/>
    <col min="3" max="4" width="14" customWidth="1"/>
  </cols>
  <sheetData>
    <row r="1" spans="1:4" ht="21" x14ac:dyDescent="0.4">
      <c r="A1" s="38" t="s">
        <v>118</v>
      </c>
      <c r="B1" s="38"/>
      <c r="C1" s="38"/>
      <c r="D1" s="38"/>
    </row>
    <row r="3" spans="1:4" x14ac:dyDescent="0.3">
      <c r="A3" s="11" t="s">
        <v>119</v>
      </c>
      <c r="B3" s="12">
        <f>SUMPRODUCT('Sales Data'!$F$2:$F$82,'Sales Data'!$G$2:$G$82)</f>
        <v>134438.21000000002</v>
      </c>
    </row>
    <row r="4" spans="1:4" x14ac:dyDescent="0.3">
      <c r="A4" s="11" t="s">
        <v>120</v>
      </c>
      <c r="B4" s="12">
        <f>SUMPRODUCT('Sales Data'!$F$2:$F$82,'Sales Data'!$H$2:$H$82)</f>
        <v>79796.570000000036</v>
      </c>
    </row>
    <row r="6" spans="1:4" x14ac:dyDescent="0.3">
      <c r="A6" s="13" t="s">
        <v>121</v>
      </c>
      <c r="B6" s="14">
        <v>0.1</v>
      </c>
    </row>
    <row r="7" spans="1:4" x14ac:dyDescent="0.3">
      <c r="A7" s="13" t="s">
        <v>122</v>
      </c>
      <c r="B7" s="15">
        <f>B3*(1-B6)-B4</f>
        <v>41197.818999999989</v>
      </c>
    </row>
    <row r="9" spans="1:4" ht="15.6" x14ac:dyDescent="0.3">
      <c r="A9" s="16" t="s">
        <v>123</v>
      </c>
    </row>
    <row r="10" spans="1:4" x14ac:dyDescent="0.3">
      <c r="A10" s="1" t="s">
        <v>124</v>
      </c>
      <c r="B10" s="1" t="s">
        <v>2</v>
      </c>
    </row>
    <row r="11" spans="1:4" x14ac:dyDescent="0.3">
      <c r="A11" s="17">
        <v>0</v>
      </c>
      <c r="B11" s="8">
        <f t="shared" ref="B11:B17" si="0">$B$3*(1-A11)-$B$4</f>
        <v>54641.639999999985</v>
      </c>
    </row>
    <row r="12" spans="1:4" x14ac:dyDescent="0.3">
      <c r="A12" s="17">
        <v>0.05</v>
      </c>
      <c r="B12" s="8">
        <f t="shared" si="0"/>
        <v>47919.729499999972</v>
      </c>
    </row>
    <row r="13" spans="1:4" x14ac:dyDescent="0.3">
      <c r="A13" s="17">
        <v>0.1</v>
      </c>
      <c r="B13" s="8">
        <f t="shared" si="0"/>
        <v>41197.818999999989</v>
      </c>
    </row>
    <row r="14" spans="1:4" x14ac:dyDescent="0.3">
      <c r="A14" s="17">
        <v>0.15</v>
      </c>
      <c r="B14" s="8">
        <f t="shared" si="0"/>
        <v>34475.908499999976</v>
      </c>
    </row>
    <row r="15" spans="1:4" x14ac:dyDescent="0.3">
      <c r="A15" s="17">
        <v>0.2</v>
      </c>
      <c r="B15" s="8">
        <f t="shared" si="0"/>
        <v>27753.997999999992</v>
      </c>
    </row>
    <row r="16" spans="1:4" x14ac:dyDescent="0.3">
      <c r="A16" s="17">
        <v>0.25</v>
      </c>
      <c r="B16" s="8">
        <f t="shared" si="0"/>
        <v>21032.08749999998</v>
      </c>
    </row>
    <row r="17" spans="1:2" x14ac:dyDescent="0.3">
      <c r="A17" s="17">
        <v>0.3</v>
      </c>
      <c r="B17" s="8">
        <f t="shared" si="0"/>
        <v>14310.176999999967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tabSelected="1" zoomScaleNormal="100" workbookViewId="0">
      <selection activeCell="A16" sqref="A16:XFD16"/>
    </sheetView>
  </sheetViews>
  <sheetFormatPr defaultColWidth="8.6640625" defaultRowHeight="14.4" x14ac:dyDescent="0.3"/>
  <cols>
    <col min="1" max="1" width="26" customWidth="1"/>
    <col min="2" max="2" width="16" customWidth="1"/>
    <col min="3" max="3" width="14" customWidth="1"/>
  </cols>
  <sheetData>
    <row r="1" spans="1:3" ht="21" x14ac:dyDescent="0.4">
      <c r="A1" s="38" t="s">
        <v>125</v>
      </c>
      <c r="B1" s="38"/>
      <c r="C1" s="38"/>
    </row>
    <row r="2" spans="1:3" x14ac:dyDescent="0.3">
      <c r="A2" s="2" t="s">
        <v>126</v>
      </c>
    </row>
    <row r="4" spans="1:3" ht="15.6" x14ac:dyDescent="0.3">
      <c r="A4" s="16" t="s">
        <v>127</v>
      </c>
    </row>
    <row r="5" spans="1:3" x14ac:dyDescent="0.3">
      <c r="A5" s="18" t="s">
        <v>128</v>
      </c>
      <c r="B5" s="19">
        <f>CORREL('Sales Data'!$K$2:$K$82,'Sales Data'!$J$2:$J$82)</f>
        <v>0.99242085675692826</v>
      </c>
    </row>
    <row r="6" spans="1:3" x14ac:dyDescent="0.3">
      <c r="A6" s="18" t="s">
        <v>129</v>
      </c>
      <c r="B6" s="19">
        <f>RSQ('Sales Data'!$K$2:$K$82,'Sales Data'!$J$2:$J$82)</f>
        <v>0.98489915692615526</v>
      </c>
    </row>
    <row r="7" spans="1:3" x14ac:dyDescent="0.3">
      <c r="A7" s="18" t="s">
        <v>130</v>
      </c>
      <c r="B7" s="19">
        <f>1-(1-B6)*(COUNT('Sales Data'!$J$2:$J$82)-1)/(COUNT('Sales Data'!$J$2:$J$82)-2)</f>
        <v>0.9847080070138281</v>
      </c>
    </row>
    <row r="8" spans="1:3" x14ac:dyDescent="0.3">
      <c r="A8" s="18" t="s">
        <v>131</v>
      </c>
      <c r="B8" s="19">
        <f>STEYX('Sales Data'!$K$2:$K$82,'Sales Data'!$J$2:$J$82)</f>
        <v>50.640957994865644</v>
      </c>
    </row>
    <row r="9" spans="1:3" x14ac:dyDescent="0.3">
      <c r="A9" s="18" t="s">
        <v>132</v>
      </c>
      <c r="B9" s="20">
        <f>COUNT('Sales Data'!$J$2:$J$82)</f>
        <v>81</v>
      </c>
    </row>
    <row r="11" spans="1:3" ht="15.6" x14ac:dyDescent="0.3">
      <c r="A11" s="16" t="s">
        <v>133</v>
      </c>
    </row>
    <row r="12" spans="1:3" x14ac:dyDescent="0.3">
      <c r="A12" s="21"/>
      <c r="B12" s="22" t="s">
        <v>134</v>
      </c>
    </row>
    <row r="13" spans="1:3" x14ac:dyDescent="0.3">
      <c r="A13" s="11" t="s">
        <v>135</v>
      </c>
      <c r="B13" s="23">
        <f>INTERCEPT('Sales Data'!$K$2:$K$82,'Sales Data'!$J$2:$J$82)</f>
        <v>1.4638327226117553</v>
      </c>
    </row>
    <row r="14" spans="1:3" x14ac:dyDescent="0.3">
      <c r="A14" s="11" t="s">
        <v>136</v>
      </c>
      <c r="B14" s="23">
        <f>SLOPE('Sales Data'!$K$2:$K$82,'Sales Data'!$J$2:$J$82)</f>
        <v>0.4049778195124224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zoomScaleNormal="100" workbookViewId="0">
      <selection sqref="A1:C1"/>
    </sheetView>
  </sheetViews>
  <sheetFormatPr defaultColWidth="8.6640625" defaultRowHeight="14.4" x14ac:dyDescent="0.3"/>
  <cols>
    <col min="1" max="1" width="22" customWidth="1"/>
    <col min="2" max="3" width="16" customWidth="1"/>
  </cols>
  <sheetData>
    <row r="1" spans="1:3" ht="21" x14ac:dyDescent="0.4">
      <c r="A1" s="38" t="s">
        <v>137</v>
      </c>
      <c r="B1" s="38"/>
      <c r="C1" s="38"/>
    </row>
    <row r="3" spans="1:3" x14ac:dyDescent="0.3">
      <c r="A3" s="1" t="s">
        <v>138</v>
      </c>
      <c r="B3" s="1" t="s">
        <v>16</v>
      </c>
      <c r="C3" s="1" t="s">
        <v>17</v>
      </c>
    </row>
    <row r="4" spans="1:3" x14ac:dyDescent="0.3">
      <c r="A4" s="3" t="s">
        <v>139</v>
      </c>
      <c r="B4" s="8">
        <f>AVERAGE('Sales Data'!$J$2:$J$82)</f>
        <v>1492.5186111111113</v>
      </c>
      <c r="C4" s="8">
        <f>AVERAGE('Sales Data'!$K$2:$K$82)</f>
        <v>605.90076543209875</v>
      </c>
    </row>
    <row r="5" spans="1:3" x14ac:dyDescent="0.3">
      <c r="A5" s="3" t="s">
        <v>131</v>
      </c>
      <c r="B5" s="8">
        <f>STDEV('Sales Data'!$J$2:$J$82)/SQRT(COUNT('Sales Data'!$J$2:$J$82))</f>
        <v>111.50439956269207</v>
      </c>
      <c r="C5" s="8">
        <f>STDEV('Sales Data'!$K$2:$K$82)/SQRT(COUNT('Sales Data'!$K$2:$K$82))</f>
        <v>45.501672293049275</v>
      </c>
    </row>
    <row r="6" spans="1:3" x14ac:dyDescent="0.3">
      <c r="A6" s="3" t="s">
        <v>140</v>
      </c>
      <c r="B6" s="8">
        <f>MEDIAN('Sales Data'!$J$2:$J$82)</f>
        <v>1298.7</v>
      </c>
      <c r="C6" s="8">
        <f>MEDIAN('Sales Data'!$K$2:$K$82)</f>
        <v>526.44000000000005</v>
      </c>
    </row>
    <row r="7" spans="1:3" x14ac:dyDescent="0.3">
      <c r="A7" s="3" t="s">
        <v>141</v>
      </c>
      <c r="B7" s="8" t="str">
        <f>IFERROR(MODE('Sales Data'!$J$2:$J$82),"No mode")</f>
        <v>No mode</v>
      </c>
      <c r="C7" s="8" t="str">
        <f>IFERROR(MODE('Sales Data'!$K$2:$K$82),"No mode")</f>
        <v>No mode</v>
      </c>
    </row>
    <row r="8" spans="1:3" x14ac:dyDescent="0.3">
      <c r="A8" s="3" t="s">
        <v>142</v>
      </c>
      <c r="B8" s="8">
        <f>STDEV('Sales Data'!$J$2:$J$82)</f>
        <v>1003.5395960642286</v>
      </c>
      <c r="C8" s="8">
        <f>STDEV('Sales Data'!$K$2:$K$82)</f>
        <v>409.51505063744349</v>
      </c>
    </row>
    <row r="9" spans="1:3" x14ac:dyDescent="0.3">
      <c r="A9" s="3" t="s">
        <v>143</v>
      </c>
      <c r="B9" s="8">
        <f>VAR('Sales Data'!$J$2:$J$82)</f>
        <v>1007091.7208687551</v>
      </c>
      <c r="C9" s="8">
        <f>VAR('Sales Data'!$K$2:$K$82)</f>
        <v>167702.57669858789</v>
      </c>
    </row>
    <row r="10" spans="1:3" x14ac:dyDescent="0.3">
      <c r="A10" s="3" t="s">
        <v>144</v>
      </c>
      <c r="B10" s="8">
        <f>KURT('Sales Data'!$J$2:$J$82)</f>
        <v>3.8253256598554053E-2</v>
      </c>
      <c r="C10" s="8">
        <f>KURT('Sales Data'!$K$2:$K$82)</f>
        <v>-0.25538926981968713</v>
      </c>
    </row>
    <row r="11" spans="1:3" x14ac:dyDescent="0.3">
      <c r="A11" s="3" t="s">
        <v>145</v>
      </c>
      <c r="B11" s="8">
        <f>SKEW('Sales Data'!$J$2:$J$82)</f>
        <v>0.86392192233578435</v>
      </c>
      <c r="C11" s="8">
        <f>SKEW('Sales Data'!$K$2:$K$82)</f>
        <v>0.79250134248571835</v>
      </c>
    </row>
    <row r="12" spans="1:3" x14ac:dyDescent="0.3">
      <c r="A12" s="3" t="s">
        <v>146</v>
      </c>
      <c r="B12" s="8">
        <f>MAX('Sales Data'!$J$2:$J$82)-MIN('Sales Data'!$J$2:$J$82)</f>
        <v>4268.652</v>
      </c>
      <c r="C12" s="8">
        <f>MAX('Sales Data'!$K$2:$K$82)-MIN('Sales Data'!$K$2:$K$82)</f>
        <v>1642.8739999999998</v>
      </c>
    </row>
    <row r="13" spans="1:3" x14ac:dyDescent="0.3">
      <c r="A13" s="3" t="s">
        <v>147</v>
      </c>
      <c r="B13" s="8">
        <f>MIN('Sales Data'!$J$2:$J$82)</f>
        <v>143.49</v>
      </c>
      <c r="C13" s="8">
        <f>MIN('Sales Data'!$K$2:$K$82)</f>
        <v>49.000000000000014</v>
      </c>
    </row>
    <row r="14" spans="1:3" x14ac:dyDescent="0.3">
      <c r="A14" s="3" t="s">
        <v>148</v>
      </c>
      <c r="B14" s="8">
        <f>MAX('Sales Data'!$J$2:$J$82)</f>
        <v>4412.1419999999998</v>
      </c>
      <c r="C14" s="8">
        <f>MAX('Sales Data'!$K$2:$K$82)</f>
        <v>1691.8739999999998</v>
      </c>
    </row>
    <row r="15" spans="1:3" x14ac:dyDescent="0.3">
      <c r="A15" s="3" t="s">
        <v>149</v>
      </c>
      <c r="B15" s="8">
        <f>SUM('Sales Data'!$J$2:$J$82)</f>
        <v>120894.00750000002</v>
      </c>
      <c r="C15" s="8">
        <f>SUM('Sales Data'!$K$2:$K$82)</f>
        <v>49077.962</v>
      </c>
    </row>
    <row r="16" spans="1:3" x14ac:dyDescent="0.3">
      <c r="A16" s="3" t="s">
        <v>150</v>
      </c>
      <c r="B16" s="20">
        <f>COUNT('Sales Data'!$J$2:$J$82)</f>
        <v>81</v>
      </c>
      <c r="C16" s="20">
        <f>COUNT('Sales Data'!$K$2:$K$82)</f>
        <v>81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zoomScaleNormal="100" workbookViewId="0">
      <selection activeCell="I10" sqref="I10"/>
    </sheetView>
  </sheetViews>
  <sheetFormatPr defaultColWidth="8.6640625" defaultRowHeight="14.4" x14ac:dyDescent="0.3"/>
  <cols>
    <col min="1" max="1" width="12" customWidth="1"/>
    <col min="2" max="2" width="11.6640625" bestFit="1" customWidth="1"/>
    <col min="3" max="3" width="16.88671875" bestFit="1" customWidth="1"/>
  </cols>
  <sheetData>
    <row r="1" spans="1:3" ht="21" x14ac:dyDescent="0.4">
      <c r="A1" s="38" t="s">
        <v>151</v>
      </c>
      <c r="B1" s="38"/>
      <c r="C1" s="38"/>
    </row>
    <row r="3" spans="1:3" ht="27.6" x14ac:dyDescent="0.3">
      <c r="A3" s="1" t="s">
        <v>152</v>
      </c>
      <c r="B3" s="1" t="s">
        <v>1</v>
      </c>
      <c r="C3" s="1" t="s">
        <v>153</v>
      </c>
    </row>
    <row r="4" spans="1:3" x14ac:dyDescent="0.3">
      <c r="A4" s="3" t="s">
        <v>154</v>
      </c>
      <c r="B4" s="24">
        <f>SUMIF('Sales Data'!$L$2:$L$82,A4,'Sales Data'!$J$2:$J$82)</f>
        <v>18167.371500000001</v>
      </c>
      <c r="C4" s="25" t="s">
        <v>155</v>
      </c>
    </row>
    <row r="5" spans="1:3" x14ac:dyDescent="0.3">
      <c r="A5" s="3" t="s">
        <v>156</v>
      </c>
      <c r="B5" s="24">
        <f>SUMIF('Sales Data'!$L$2:$L$82,A5,'Sales Data'!$J$2:$J$82)</f>
        <v>20616.168000000001</v>
      </c>
      <c r="C5" s="26">
        <f>(B5-B4)/B4</f>
        <v>0.13479090797477225</v>
      </c>
    </row>
    <row r="6" spans="1:3" x14ac:dyDescent="0.3">
      <c r="A6" s="3" t="s">
        <v>157</v>
      </c>
      <c r="B6" s="24">
        <f>SUMIF('Sales Data'!$L$2:$L$82,A6,'Sales Data'!$J$2:$J$82)</f>
        <v>14586.573999999999</v>
      </c>
      <c r="C6" s="26">
        <f>(B6-B5)/B5</f>
        <v>-0.29246919214084799</v>
      </c>
    </row>
    <row r="7" spans="1:3" x14ac:dyDescent="0.3">
      <c r="A7" s="3" t="s">
        <v>158</v>
      </c>
      <c r="B7" s="24">
        <f>SUMIF('Sales Data'!$L$2:$L$82,A7,'Sales Data'!$J$2:$J$82)</f>
        <v>17507.097500000003</v>
      </c>
      <c r="C7" s="26">
        <f>(B7-B6)/B6</f>
        <v>0.20021997626036142</v>
      </c>
    </row>
    <row r="8" spans="1:3" x14ac:dyDescent="0.3">
      <c r="A8" s="3" t="s">
        <v>159</v>
      </c>
      <c r="B8" s="24">
        <f>SUMIF('Sales Data'!$L$2:$L$82,A8,'Sales Data'!$J$2:$J$82)</f>
        <v>26702.180999999997</v>
      </c>
      <c r="C8" s="26">
        <f>(B8-B7)/B7</f>
        <v>0.52522032849819855</v>
      </c>
    </row>
    <row r="9" spans="1:3" x14ac:dyDescent="0.3">
      <c r="A9" s="3" t="s">
        <v>160</v>
      </c>
      <c r="B9" s="24">
        <f>SUMIF('Sales Data'!$L$2:$L$82,A9,'Sales Data'!$J$2:$J$82)</f>
        <v>23314.615500000004</v>
      </c>
      <c r="C9" s="26">
        <f>(B9-B8)/B8</f>
        <v>-0.126864749362608</v>
      </c>
    </row>
  </sheetData>
  <mergeCells count="1">
    <mergeCell ref="A1:C1"/>
  </mergeCells>
  <conditionalFormatting sqref="C5:C9">
    <cfRule type="iconSet" priority="2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8"/>
  <sheetViews>
    <sheetView zoomScaleNormal="100" workbookViewId="0">
      <selection sqref="A1:D1"/>
    </sheetView>
  </sheetViews>
  <sheetFormatPr defaultColWidth="8.6640625" defaultRowHeight="14.4" x14ac:dyDescent="0.3"/>
  <cols>
    <col min="1" max="1" width="8" customWidth="1"/>
    <col min="2" max="2" width="22" customWidth="1"/>
    <col min="3" max="3" width="16" customWidth="1"/>
    <col min="4" max="4" width="12" customWidth="1"/>
  </cols>
  <sheetData>
    <row r="1" spans="1:4" ht="21" x14ac:dyDescent="0.4">
      <c r="A1" s="38" t="s">
        <v>161</v>
      </c>
      <c r="B1" s="38"/>
      <c r="C1" s="38"/>
      <c r="D1" s="38"/>
    </row>
    <row r="3" spans="1:4" x14ac:dyDescent="0.3">
      <c r="A3" s="1" t="s">
        <v>162</v>
      </c>
      <c r="B3" s="1" t="s">
        <v>116</v>
      </c>
      <c r="C3" s="1" t="s">
        <v>163</v>
      </c>
      <c r="D3" s="1" t="s">
        <v>9</v>
      </c>
    </row>
    <row r="4" spans="1:4" x14ac:dyDescent="0.3">
      <c r="A4" s="3">
        <v>1</v>
      </c>
      <c r="B4" s="3" t="str">
        <f>INDEX('Customer Summary'!$A$4:$A$18,MATCH(C4,'Customer Summary'!$B$4:$B$18,0))</f>
        <v>Sanjay Desai</v>
      </c>
      <c r="C4" s="8">
        <f>LARGE('Customer Summary'!$B$4:$B$18,A4)</f>
        <v>14426.2405</v>
      </c>
      <c r="D4" s="3" t="str">
        <f>INDEX('Sales Data'!$C$2:$C$82,MATCH(B4,'Sales Data'!$B$2:$B$82,0))</f>
        <v>South</v>
      </c>
    </row>
    <row r="5" spans="1:4" x14ac:dyDescent="0.3">
      <c r="A5" s="3">
        <v>2</v>
      </c>
      <c r="B5" s="3" t="str">
        <f>INDEX('Customer Summary'!$A$4:$A$18,MATCH(C5,'Customer Summary'!$B$4:$B$18,0))</f>
        <v>Rohan Mehta</v>
      </c>
      <c r="C5" s="8">
        <f>LARGE('Customer Summary'!$B$4:$B$18,A5)</f>
        <v>13221.465999999999</v>
      </c>
      <c r="D5" s="3" t="str">
        <f>INDEX('Sales Data'!$C$2:$C$82,MATCH(B5,'Sales Data'!$B$2:$B$82,0))</f>
        <v>East</v>
      </c>
    </row>
    <row r="6" spans="1:4" x14ac:dyDescent="0.3">
      <c r="A6" s="3">
        <v>3</v>
      </c>
      <c r="B6" s="3" t="str">
        <f>INDEX('Customer Summary'!$A$4:$A$18,MATCH(C6,'Customer Summary'!$B$4:$B$18,0))</f>
        <v>Vikram Singh</v>
      </c>
      <c r="C6" s="8">
        <f>LARGE('Customer Summary'!$B$4:$B$18,A6)</f>
        <v>13062.964499999998</v>
      </c>
      <c r="D6" s="3" t="str">
        <f>INDEX('Sales Data'!$C$2:$C$82,MATCH(B6,'Sales Data'!$B$2:$B$82,0))</f>
        <v>South</v>
      </c>
    </row>
    <row r="7" spans="1:4" x14ac:dyDescent="0.3">
      <c r="A7" s="3">
        <v>4</v>
      </c>
      <c r="B7" s="3" t="str">
        <f>INDEX('Customer Summary'!$A$4:$A$18,MATCH(C7,'Customer Summary'!$B$4:$B$18,0))</f>
        <v>Meera Rao</v>
      </c>
      <c r="C7" s="8">
        <f>LARGE('Customer Summary'!$B$4:$B$18,A7)</f>
        <v>12033.500499999998</v>
      </c>
      <c r="D7" s="3" t="str">
        <f>INDEX('Sales Data'!$C$2:$C$82,MATCH(B7,'Sales Data'!$B$2:$B$82,0))</f>
        <v>South</v>
      </c>
    </row>
    <row r="8" spans="1:4" x14ac:dyDescent="0.3">
      <c r="A8" s="3">
        <v>5</v>
      </c>
      <c r="B8" s="3" t="str">
        <f>INDEX('Customer Summary'!$A$4:$A$18,MATCH(C8,'Customer Summary'!$B$4:$B$18,0))</f>
        <v>Arjun Nair</v>
      </c>
      <c r="C8" s="8">
        <f>LARGE('Customer Summary'!$B$4:$B$18,A8)</f>
        <v>10858.26</v>
      </c>
      <c r="D8" s="3" t="str">
        <f>INDEX('Sales Data'!$C$2:$C$82,MATCH(B8,'Sales Data'!$B$2:$B$82,0))</f>
        <v>West</v>
      </c>
    </row>
    <row r="9" spans="1:4" x14ac:dyDescent="0.3">
      <c r="A9" s="3">
        <v>6</v>
      </c>
      <c r="B9" s="3" t="str">
        <f>INDEX('Customer Summary'!$A$4:$A$18,MATCH(C9,'Customer Summary'!$B$4:$B$18,0))</f>
        <v>Anjali Gupta</v>
      </c>
      <c r="C9" s="8">
        <f>LARGE('Customer Summary'!$B$4:$B$18,A9)</f>
        <v>8971.1275000000023</v>
      </c>
      <c r="D9" s="3" t="str">
        <f>INDEX('Sales Data'!$C$2:$C$82,MATCH(B9,'Sales Data'!$B$2:$B$82,0))</f>
        <v>South</v>
      </c>
    </row>
    <row r="10" spans="1:4" x14ac:dyDescent="0.3">
      <c r="A10" s="3">
        <v>7</v>
      </c>
      <c r="B10" s="3" t="str">
        <f>INDEX('Customer Summary'!$A$4:$A$18,MATCH(C10,'Customer Summary'!$B$4:$B$18,0))</f>
        <v>Priya Patel</v>
      </c>
      <c r="C10" s="8">
        <f>LARGE('Customer Summary'!$B$4:$B$18,A10)</f>
        <v>8769.0240000000013</v>
      </c>
      <c r="D10" s="3" t="str">
        <f>INDEX('Sales Data'!$C$2:$C$82,MATCH(B10,'Sales Data'!$B$2:$B$82,0))</f>
        <v>North</v>
      </c>
    </row>
    <row r="11" spans="1:4" x14ac:dyDescent="0.3">
      <c r="A11" s="3">
        <v>8</v>
      </c>
      <c r="B11" s="3" t="str">
        <f>INDEX('Customer Summary'!$A$4:$A$18,MATCH(C11,'Customer Summary'!$B$4:$B$18,0))</f>
        <v>Neha Verma</v>
      </c>
      <c r="C11" s="8">
        <f>LARGE('Customer Summary'!$B$4:$B$18,A11)</f>
        <v>7754.1340000000009</v>
      </c>
      <c r="D11" s="3" t="str">
        <f>INDEX('Sales Data'!$C$2:$C$82,MATCH(B11,'Sales Data'!$B$2:$B$82,0))</f>
        <v>North</v>
      </c>
    </row>
    <row r="12" spans="1:4" x14ac:dyDescent="0.3">
      <c r="A12" s="3">
        <v>9</v>
      </c>
      <c r="B12" s="3" t="str">
        <f>INDEX('Customer Summary'!$A$4:$A$18,MATCH(C12,'Customer Summary'!$B$4:$B$18,0))</f>
        <v>Pooja Joshi</v>
      </c>
      <c r="C12" s="8">
        <f>LARGE('Customer Summary'!$B$4:$B$18,A12)</f>
        <v>7689.26</v>
      </c>
      <c r="D12" s="3" t="str">
        <f>INDEX('Sales Data'!$C$2:$C$82,MATCH(B12,'Sales Data'!$B$2:$B$82,0))</f>
        <v>North</v>
      </c>
    </row>
    <row r="13" spans="1:4" x14ac:dyDescent="0.3">
      <c r="A13" s="3">
        <v>10</v>
      </c>
      <c r="B13" s="3" t="str">
        <f>INDEX('Customer Summary'!$A$4:$A$18,MATCH(C13,'Customer Summary'!$B$4:$B$18,0))</f>
        <v>Karan Malhotra</v>
      </c>
      <c r="C13" s="8">
        <f>LARGE('Customer Summary'!$B$4:$B$18,A13)</f>
        <v>5937.902000000001</v>
      </c>
      <c r="D13" s="3" t="str">
        <f>INDEX('Sales Data'!$C$2:$C$82,MATCH(B13,'Sales Data'!$B$2:$B$82,0))</f>
        <v>North</v>
      </c>
    </row>
    <row r="16" spans="1:4" ht="15.6" x14ac:dyDescent="0.3">
      <c r="A16" s="16" t="s">
        <v>164</v>
      </c>
    </row>
    <row r="17" spans="1:2" x14ac:dyDescent="0.3">
      <c r="A17" s="13" t="s">
        <v>165</v>
      </c>
      <c r="B17" s="12">
        <f>AVERAGE('Customer Summary'!$B$4:$B$18)</f>
        <v>8059.6004999999986</v>
      </c>
    </row>
    <row r="18" spans="1:2" x14ac:dyDescent="0.3">
      <c r="A18" s="13" t="s">
        <v>166</v>
      </c>
      <c r="B18" s="27">
        <f>COUNTIF('Customer Summary'!$B$4:$B$18,"&gt;"&amp;B17)</f>
        <v>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zoomScaleNormal="100" workbookViewId="0">
      <selection sqref="A1:F1"/>
    </sheetView>
  </sheetViews>
  <sheetFormatPr defaultColWidth="8.6640625" defaultRowHeight="14.4" x14ac:dyDescent="0.3"/>
  <cols>
    <col min="1" max="5" width="14" customWidth="1"/>
    <col min="6" max="6" width="15" customWidth="1"/>
  </cols>
  <sheetData>
    <row r="1" spans="1:6" ht="21" x14ac:dyDescent="0.4">
      <c r="A1" s="38" t="s">
        <v>167</v>
      </c>
      <c r="B1" s="38"/>
      <c r="C1" s="38"/>
      <c r="D1" s="38"/>
      <c r="E1" s="38"/>
      <c r="F1" s="38"/>
    </row>
    <row r="2" spans="1:6" x14ac:dyDescent="0.3">
      <c r="A2" s="39" t="s">
        <v>168</v>
      </c>
      <c r="B2" s="39"/>
      <c r="C2" s="39"/>
      <c r="D2" s="39"/>
      <c r="E2" s="39"/>
      <c r="F2" s="39"/>
    </row>
    <row r="4" spans="1:6" x14ac:dyDescent="0.3">
      <c r="A4" s="1" t="s">
        <v>9</v>
      </c>
      <c r="B4" s="1" t="s">
        <v>37</v>
      </c>
      <c r="C4" s="1" t="s">
        <v>23</v>
      </c>
      <c r="D4" s="1" t="s">
        <v>27</v>
      </c>
      <c r="E4" s="1" t="s">
        <v>34</v>
      </c>
      <c r="F4" s="1" t="s">
        <v>169</v>
      </c>
    </row>
    <row r="5" spans="1:6" x14ac:dyDescent="0.3">
      <c r="A5" s="18" t="s">
        <v>26</v>
      </c>
      <c r="B5" s="24">
        <f>SUMIFS('Sales Data'!$J$2:$J$82,'Sales Data'!$C$2:$C$82,$A5,'Sales Data'!$D$2:$D$82,B$4)</f>
        <v>11091.322999999999</v>
      </c>
      <c r="C5" s="24">
        <f>SUMIFS('Sales Data'!$J$2:$J$82,'Sales Data'!$C$2:$C$82,$A5,'Sales Data'!$D$2:$D$82,C$4)</f>
        <v>13627.734</v>
      </c>
      <c r="D5" s="24">
        <f>SUMIFS('Sales Data'!$J$2:$J$82,'Sales Data'!$C$2:$C$82,$A5,'Sales Data'!$D$2:$D$82,D$4)</f>
        <v>7238.4660000000003</v>
      </c>
      <c r="E5" s="24">
        <f>SUMIFS('Sales Data'!$J$2:$J$82,'Sales Data'!$C$2:$C$82,$A5,'Sales Data'!$D$2:$D$82,E$4)</f>
        <v>11007.005000000001</v>
      </c>
      <c r="F5" s="28">
        <f>SUM(B5:E5)</f>
        <v>42964.528000000006</v>
      </c>
    </row>
    <row r="6" spans="1:6" x14ac:dyDescent="0.3">
      <c r="A6" s="18" t="s">
        <v>30</v>
      </c>
      <c r="B6" s="24">
        <f>SUMIFS('Sales Data'!$J$2:$J$82,'Sales Data'!$C$2:$C$82,$A6,'Sales Data'!$D$2:$D$82,B$4)</f>
        <v>12813.423999999999</v>
      </c>
      <c r="C6" s="24">
        <f>SUMIFS('Sales Data'!$J$2:$J$82,'Sales Data'!$C$2:$C$82,$A6,'Sales Data'!$D$2:$D$82,C$4)</f>
        <v>21800.3465</v>
      </c>
      <c r="D6" s="24">
        <f>SUMIFS('Sales Data'!$J$2:$J$82,'Sales Data'!$C$2:$C$82,$A6,'Sales Data'!$D$2:$D$82,D$4)</f>
        <v>4658.9559999999992</v>
      </c>
      <c r="E6" s="24">
        <f>SUMIFS('Sales Data'!$J$2:$J$82,'Sales Data'!$C$2:$C$82,$A6,'Sales Data'!$D$2:$D$82,E$4)</f>
        <v>14577.027</v>
      </c>
      <c r="F6" s="28">
        <f>SUM(B6:E6)</f>
        <v>53849.753499999999</v>
      </c>
    </row>
    <row r="7" spans="1:6" x14ac:dyDescent="0.3">
      <c r="A7" s="18" t="s">
        <v>44</v>
      </c>
      <c r="B7" s="24">
        <f>SUMIFS('Sales Data'!$J$2:$J$82,'Sales Data'!$C$2:$C$82,$A7,'Sales Data'!$D$2:$D$82,B$4)</f>
        <v>0</v>
      </c>
      <c r="C7" s="24">
        <f>SUMIFS('Sales Data'!$J$2:$J$82,'Sales Data'!$C$2:$C$82,$A7,'Sales Data'!$D$2:$D$82,C$4)</f>
        <v>4884.2549999999992</v>
      </c>
      <c r="D7" s="24">
        <f>SUMIFS('Sales Data'!$J$2:$J$82,'Sales Data'!$C$2:$C$82,$A7,'Sales Data'!$D$2:$D$82,D$4)</f>
        <v>0</v>
      </c>
      <c r="E7" s="24">
        <f>SUMIFS('Sales Data'!$J$2:$J$82,'Sales Data'!$C$2:$C$82,$A7,'Sales Data'!$D$2:$D$82,E$4)</f>
        <v>8337.2109999999993</v>
      </c>
      <c r="F7" s="28">
        <f>SUM(B7:E7)</f>
        <v>13221.465999999999</v>
      </c>
    </row>
    <row r="8" spans="1:6" x14ac:dyDescent="0.3">
      <c r="A8" s="18" t="s">
        <v>22</v>
      </c>
      <c r="B8" s="24">
        <f>SUMIFS('Sales Data'!$J$2:$J$82,'Sales Data'!$C$2:$C$82,$A8,'Sales Data'!$D$2:$D$82,B$4)</f>
        <v>5884.3160000000007</v>
      </c>
      <c r="C8" s="24">
        <f>SUMIFS('Sales Data'!$J$2:$J$82,'Sales Data'!$C$2:$C$82,$A8,'Sales Data'!$D$2:$D$82,C$4)</f>
        <v>4315.8639999999996</v>
      </c>
      <c r="D8" s="24">
        <f>SUMIFS('Sales Data'!$J$2:$J$82,'Sales Data'!$C$2:$C$82,$A8,'Sales Data'!$D$2:$D$82,D$4)</f>
        <v>658.08</v>
      </c>
      <c r="E8" s="24">
        <f>SUMIFS('Sales Data'!$J$2:$J$82,'Sales Data'!$C$2:$C$82,$A8,'Sales Data'!$D$2:$D$82,E$4)</f>
        <v>0</v>
      </c>
      <c r="F8" s="28">
        <f>SUM(B8:E8)</f>
        <v>10858.26</v>
      </c>
    </row>
    <row r="9" spans="1:6" x14ac:dyDescent="0.3">
      <c r="A9" s="18" t="s">
        <v>169</v>
      </c>
      <c r="B9" s="28">
        <f>SUM(B5:B8)</f>
        <v>29789.062999999995</v>
      </c>
      <c r="C9" s="28">
        <f>SUM(C5:C8)</f>
        <v>44628.199499999995</v>
      </c>
      <c r="D9" s="28">
        <f>SUM(D5:D8)</f>
        <v>12555.501999999999</v>
      </c>
      <c r="E9" s="28">
        <f>SUM(E5:E8)</f>
        <v>33921.243000000002</v>
      </c>
      <c r="F9" s="28">
        <f>SUM(F5:F8)</f>
        <v>120894.00750000001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34" zoomScaleNormal="100" workbookViewId="0"/>
  </sheetViews>
  <sheetFormatPr defaultColWidth="8.6640625" defaultRowHeight="14.4" x14ac:dyDescent="0.3"/>
  <cols>
    <col min="1" max="6" width="12" customWidth="1"/>
  </cols>
  <sheetData>
    <row r="1" spans="1:1" ht="21" x14ac:dyDescent="0.4">
      <c r="A1" s="29" t="s">
        <v>170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Sales Data</vt:lpstr>
      <vt:lpstr>Customer Summary</vt:lpstr>
      <vt:lpstr>WHAT-IF Analysis</vt:lpstr>
      <vt:lpstr>Regression Analysis</vt:lpstr>
      <vt:lpstr>Descriptive Statistics</vt:lpstr>
      <vt:lpstr>Monthly Growth</vt:lpstr>
      <vt:lpstr>High-Value Customers</vt:lpstr>
      <vt:lpstr>Pivot Summary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digant jasani</cp:lastModifiedBy>
  <cp:revision>1</cp:revision>
  <dcterms:created xsi:type="dcterms:W3CDTF">2026-09-08T12:41:00Z</dcterms:created>
  <dcterms:modified xsi:type="dcterms:W3CDTF">2026-09-10T05:01:14Z</dcterms:modified>
  <dc:language>en-US</dc:language>
</cp:coreProperties>
</file>