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inal Project Dataset" sheetId="2" state="visible" r:id="rId2"/>
    <sheet xmlns:r="http://schemas.openxmlformats.org/officeDocument/2006/relationships" name="Pivot Tables" sheetId="3" state="visible" r:id="rId3"/>
    <sheet xmlns:r="http://schemas.openxmlformats.org/officeDocument/2006/relationships" name="Analysis &amp; Formul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365D"/>
      <sz val="14"/>
    </font>
    <font>
      <name val="Arial"/>
      <b val="1"/>
      <color rgb="00333333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2C4D75"/>
      <sz val="11"/>
    </font>
    <font>
      <name val="Arial"/>
      <b val="1"/>
      <color rgb="00FFFFFF"/>
      <sz val="16"/>
    </font>
    <font>
      <name val="Arial"/>
      <i val="1"/>
      <color rgb="001B365D"/>
      <sz val="11"/>
    </font>
    <font>
      <name val="Arial"/>
      <b val="1"/>
      <color rgb="00555555"/>
      <sz val="9"/>
    </font>
    <font>
      <name val="Arial"/>
      <i val="1"/>
      <color rgb="00777777"/>
      <sz val="8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4D75"/>
        <bgColor rgb="002C4D75"/>
      </patternFill>
    </fill>
    <fill>
      <patternFill patternType="solid">
        <fgColor rgb="00EAEFF5"/>
        <bgColor rgb="00EAEFF5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0" fillId="0" borderId="1" pivotButton="0" quotePrefix="0" xfId="0"/>
    <xf numFmtId="164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3" fontId="2" fillId="0" borderId="1" pivotButton="0" quotePrefix="0" xfId="0"/>
    <xf numFmtId="164" fontId="2" fillId="0" borderId="1" pivotButton="0" quotePrefix="0" xfId="0"/>
    <xf numFmtId="0" fontId="6" fillId="0" borderId="2" pivotButton="0" quotePrefix="0" xfId="0"/>
    <xf numFmtId="3" fontId="6" fillId="0" borderId="2" pivotButton="0" quotePrefix="0" xfId="0"/>
    <xf numFmtId="164" fontId="6" fillId="0" borderId="2" pivotButton="0" quotePrefix="0" xfId="0"/>
    <xf numFmtId="0" fontId="2" fillId="0" borderId="1" applyAlignment="1" pivotButton="0" quotePrefix="0" xfId="0">
      <alignment horizontal="left"/>
    </xf>
    <xf numFmtId="165" fontId="2" fillId="0" borderId="1" pivotButton="0" quotePrefix="0" xfId="0"/>
    <xf numFmtId="0" fontId="0" fillId="0" borderId="2" pivotButton="0" quotePrefix="0" xfId="0"/>
    <xf numFmtId="165" fontId="6" fillId="0" borderId="2" pivotButton="0" quotePrefix="0" xfId="0"/>
    <xf numFmtId="0" fontId="7" fillId="0" borderId="0" pivotButton="0" quotePrefix="0" xfId="0"/>
    <xf numFmtId="0" fontId="5" fillId="3" borderId="0" pivotButton="0" quotePrefix="0" xfId="0"/>
    <xf numFmtId="0" fontId="6" fillId="0" borderId="1" pivotButton="0" quotePrefix="0" xfId="0"/>
    <xf numFmtId="165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Regional Sales Revenue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Tables'!D4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Tables'!$A$5:$A$9</f>
            </numRef>
          </cat>
          <val>
            <numRef>
              <f>'Pivot Tables'!$D$5:$D$9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Product Category</a:t>
            </a:r>
          </a:p>
        </rich>
      </tx>
    </title>
    <plotArea>
      <pieChart>
        <varyColors val="1"/>
        <ser>
          <idx val="0"/>
          <order val="0"/>
          <tx>
            <strRef>
              <f>'Pivot Tables'!D12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Tables'!$A$13:$A$20</f>
            </numRef>
          </cat>
          <val>
            <numRef>
              <f>'Pivot Tables'!$D$13:$D$20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8</row>
      <rowOff>0</rowOff>
    </from>
    <ext cx="50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16" customWidth="1" min="2" max="2"/>
    <col width="43" customWidth="1" min="3" max="3"/>
    <col width="16" customWidth="1" min="4" max="4"/>
    <col width="40" customWidth="1" min="5" max="5"/>
    <col width="16" customWidth="1" min="6" max="6"/>
    <col width="44" customWidth="1" min="7" max="7"/>
  </cols>
  <sheetData>
    <row r="1" ht="40" customHeight="1">
      <c r="A1" s="1" t="inlineStr">
        <is>
          <t>EXECUTIVE DATA INTELLIGENCE DASHBOARD</t>
        </is>
      </c>
    </row>
    <row r="2" ht="25" customHeight="1">
      <c r="A2" s="2" t="inlineStr">
        <is>
          <t>Performance Summary, KPI Indicators &amp; Visualizations (Linked to Pivot Tables)</t>
        </is>
      </c>
    </row>
    <row r="3"/>
    <row r="4" ht="18" customHeight="1">
      <c r="A4" s="3" t="inlineStr">
        <is>
          <t>Total Revenue</t>
        </is>
      </c>
      <c r="B4" s="4" t="n"/>
      <c r="C4" s="3" t="inlineStr">
        <is>
          <t>Total Transactions</t>
        </is>
      </c>
      <c r="D4" s="4" t="n"/>
      <c r="E4" s="3" t="inlineStr">
        <is>
          <t>Units Sold</t>
        </is>
      </c>
      <c r="F4" s="4" t="n"/>
      <c r="G4" s="3" t="inlineStr">
        <is>
          <t>Average Order Value</t>
        </is>
      </c>
    </row>
    <row r="5" ht="28" customHeight="1">
      <c r="A5" s="5">
        <f>SUM('Final Project Dataset'!J2:J221)</f>
        <v/>
      </c>
      <c r="B5" s="4" t="n"/>
      <c r="C5" s="6">
        <f>COUNTA('Final Project Dataset'!A2:A221)</f>
        <v/>
      </c>
      <c r="D5" s="4" t="n"/>
      <c r="E5" s="6">
        <f>SUM('Final Project Dataset'!G2:G221)</f>
        <v/>
      </c>
      <c r="F5" s="4" t="n"/>
      <c r="G5" s="5">
        <f>AVERAGE('Final Project Dataset'!J2:J221)</f>
        <v/>
      </c>
    </row>
    <row r="6" ht="18" customHeight="1">
      <c r="A6" s="7" t="inlineStr">
        <is>
          <t>Overall Sales</t>
        </is>
      </c>
      <c r="B6" s="4" t="n"/>
      <c r="C6" s="7" t="inlineStr">
        <is>
          <t>Completed Orders</t>
        </is>
      </c>
      <c r="D6" s="4" t="n"/>
      <c r="E6" s="7" t="inlineStr">
        <is>
          <t>Total Quantity</t>
        </is>
      </c>
      <c r="F6" s="4" t="n"/>
      <c r="G6" s="7" t="inlineStr">
        <is>
          <t>Per Transaction</t>
        </is>
      </c>
    </row>
  </sheetData>
  <mergeCells count="11">
    <mergeCell ref="A4:B4"/>
    <mergeCell ref="E4:F4"/>
    <mergeCell ref="E6:F6"/>
    <mergeCell ref="A1:G1"/>
    <mergeCell ref="C6:D6"/>
    <mergeCell ref="C5:D5"/>
    <mergeCell ref="A5:B5"/>
    <mergeCell ref="E5:F5"/>
    <mergeCell ref="A2:G2"/>
    <mergeCell ref="A6:B6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12" customWidth="1" min="4" max="4"/>
    <col width="29" customWidth="1" min="5" max="5"/>
    <col width="14" customWidth="1" min="6" max="6"/>
    <col width="12" customWidth="1" min="7" max="7"/>
    <col width="13" customWidth="1" min="8" max="8"/>
    <col width="13" customWidth="1" min="9" max="9"/>
    <col width="15" customWidth="1" min="10" max="10"/>
    <col width="19" customWidth="1" min="11" max="11"/>
    <col width="12" customWidth="1" min="12" max="12"/>
  </cols>
  <sheetData>
    <row r="1">
      <c r="A1" s="8" t="inlineStr">
        <is>
          <t>Transaction ID</t>
        </is>
      </c>
      <c r="B1" s="8" t="inlineStr">
        <is>
          <t>Customer ID</t>
        </is>
      </c>
      <c r="C1" s="8" t="inlineStr">
        <is>
          <t>Customer Name</t>
        </is>
      </c>
      <c r="D1" s="8" t="inlineStr">
        <is>
          <t>Region</t>
        </is>
      </c>
      <c r="E1" s="8" t="inlineStr">
        <is>
          <t>Product Name</t>
        </is>
      </c>
      <c r="F1" s="8" t="inlineStr">
        <is>
          <t>Category</t>
        </is>
      </c>
      <c r="G1" s="8" t="inlineStr">
        <is>
          <t>Quantity</t>
        </is>
      </c>
      <c r="H1" s="8" t="inlineStr">
        <is>
          <t>Unit Price</t>
        </is>
      </c>
      <c r="I1" s="8" t="inlineStr">
        <is>
          <t>Discount %</t>
        </is>
      </c>
      <c r="J1" s="8" t="inlineStr">
        <is>
          <t>Total Amount</t>
        </is>
      </c>
      <c r="K1" s="8" t="inlineStr">
        <is>
          <t>Transaction Date</t>
        </is>
      </c>
      <c r="L1" s="8" t="inlineStr">
        <is>
          <t>Status</t>
        </is>
      </c>
    </row>
    <row r="2">
      <c r="A2" s="9" t="inlineStr">
        <is>
          <t>TXN-2001</t>
        </is>
      </c>
      <c r="B2" s="9" t="inlineStr">
        <is>
          <t>CUST-202</t>
        </is>
      </c>
      <c r="C2" s="10" t="inlineStr">
        <is>
          <t>Neha Deshmukh</t>
        </is>
      </c>
      <c r="D2" s="9" t="inlineStr">
        <is>
          <t>East</t>
        </is>
      </c>
      <c r="E2" s="10" t="inlineStr">
        <is>
          <t>Ultra HD Monitor</t>
        </is>
      </c>
      <c r="F2" s="10" t="inlineStr">
        <is>
          <t>Electronics</t>
        </is>
      </c>
      <c r="G2" s="11" t="n">
        <v>1</v>
      </c>
      <c r="H2" s="12" t="n">
        <v>350</v>
      </c>
      <c r="I2" s="13" t="n">
        <v>0</v>
      </c>
      <c r="J2" s="12" t="n">
        <v>350</v>
      </c>
      <c r="K2" s="9" t="inlineStr">
        <is>
          <t>2026-08-19</t>
        </is>
      </c>
      <c r="L2" s="9" t="inlineStr">
        <is>
          <t>Completed</t>
        </is>
      </c>
    </row>
    <row r="3">
      <c r="A3" s="9" t="inlineStr">
        <is>
          <t>TXN-2002</t>
        </is>
      </c>
      <c r="B3" s="9" t="inlineStr">
        <is>
          <t>CUST-203</t>
        </is>
      </c>
      <c r="C3" s="10" t="inlineStr">
        <is>
          <t>Vivaan Sharma</t>
        </is>
      </c>
      <c r="D3" s="9" t="inlineStr">
        <is>
          <t>South</t>
        </is>
      </c>
      <c r="E3" s="10" t="inlineStr">
        <is>
          <t>Wireless Mouse</t>
        </is>
      </c>
      <c r="F3" s="10" t="inlineStr">
        <is>
          <t>Accessories</t>
        </is>
      </c>
      <c r="G3" s="11" t="n">
        <v>1</v>
      </c>
      <c r="H3" s="12" t="n">
        <v>25</v>
      </c>
      <c r="I3" s="13" t="n">
        <v>0</v>
      </c>
      <c r="J3" s="12" t="n">
        <v>25</v>
      </c>
      <c r="K3" s="9" t="inlineStr">
        <is>
          <t>2025-08-13</t>
        </is>
      </c>
      <c r="L3" s="9" t="inlineStr">
        <is>
          <t>Completed</t>
        </is>
      </c>
    </row>
    <row r="4">
      <c r="A4" s="9" t="inlineStr">
        <is>
          <t>TXN-2003</t>
        </is>
      </c>
      <c r="B4" s="9" t="inlineStr">
        <is>
          <t>CUST-204</t>
        </is>
      </c>
      <c r="C4" s="10" t="inlineStr">
        <is>
          <t>Arjun Sharma</t>
        </is>
      </c>
      <c r="D4" s="9" t="inlineStr">
        <is>
          <t>Central</t>
        </is>
      </c>
      <c r="E4" s="10" t="inlineStr">
        <is>
          <t>Laptop Pro</t>
        </is>
      </c>
      <c r="F4" s="10" t="inlineStr">
        <is>
          <t>Electronics</t>
        </is>
      </c>
      <c r="G4" s="11" t="n">
        <v>2</v>
      </c>
      <c r="H4" s="12" t="n">
        <v>1200</v>
      </c>
      <c r="I4" s="13" t="n">
        <v>0</v>
      </c>
      <c r="J4" s="12" t="n">
        <v>2400</v>
      </c>
      <c r="K4" s="9" t="inlineStr">
        <is>
          <t>2025-01-03</t>
        </is>
      </c>
      <c r="L4" s="9" t="inlineStr">
        <is>
          <t>Completed</t>
        </is>
      </c>
    </row>
    <row r="5">
      <c r="A5" s="9" t="inlineStr">
        <is>
          <t>TXN-2004</t>
        </is>
      </c>
      <c r="B5" s="9" t="inlineStr">
        <is>
          <t>CUST-205</t>
        </is>
      </c>
      <c r="C5" s="10" t="inlineStr">
        <is>
          <t>Amit Singh</t>
        </is>
      </c>
      <c r="D5" s="9" t="inlineStr">
        <is>
          <t>Central</t>
        </is>
      </c>
      <c r="E5" s="10" t="inlineStr">
        <is>
          <t>Noise-Canceling Headphones</t>
        </is>
      </c>
      <c r="F5" s="10" t="inlineStr">
        <is>
          <t>Audio</t>
        </is>
      </c>
      <c r="G5" s="11" t="n">
        <v>3</v>
      </c>
      <c r="H5" s="12" t="n">
        <v>180</v>
      </c>
      <c r="I5" s="13" t="n">
        <v>0.05</v>
      </c>
      <c r="J5" s="12" t="n">
        <v>513</v>
      </c>
      <c r="K5" s="9" t="inlineStr">
        <is>
          <t>2026-01-16</t>
        </is>
      </c>
      <c r="L5" s="9" t="inlineStr">
        <is>
          <t>Completed</t>
        </is>
      </c>
    </row>
    <row r="6">
      <c r="A6" s="9" t="inlineStr">
        <is>
          <t>TXN-2005</t>
        </is>
      </c>
      <c r="B6" s="9" t="inlineStr">
        <is>
          <t>CUST-206</t>
        </is>
      </c>
      <c r="C6" s="10" t="inlineStr">
        <is>
          <t>Vivaan Shah</t>
        </is>
      </c>
      <c r="D6" s="9" t="inlineStr">
        <is>
          <t>North</t>
        </is>
      </c>
      <c r="E6" s="10" t="inlineStr">
        <is>
          <t>External SSD 1TB</t>
        </is>
      </c>
      <c r="F6" s="10" t="inlineStr">
        <is>
          <t>Storage</t>
        </is>
      </c>
      <c r="G6" s="11" t="n">
        <v>1</v>
      </c>
      <c r="H6" s="12" t="n">
        <v>130</v>
      </c>
      <c r="I6" s="13" t="n">
        <v>0</v>
      </c>
      <c r="J6" s="12" t="n">
        <v>130</v>
      </c>
      <c r="K6" s="9" t="inlineStr">
        <is>
          <t>2026-08-12</t>
        </is>
      </c>
      <c r="L6" s="9" t="inlineStr">
        <is>
          <t>Pending</t>
        </is>
      </c>
    </row>
    <row r="7">
      <c r="A7" s="9" t="inlineStr">
        <is>
          <t>TXN-2006</t>
        </is>
      </c>
      <c r="B7" s="9" t="inlineStr">
        <is>
          <t>CUST-207</t>
        </is>
      </c>
      <c r="C7" s="10" t="inlineStr">
        <is>
          <t>Sai Sharma</t>
        </is>
      </c>
      <c r="D7" s="9" t="inlineStr">
        <is>
          <t>Central</t>
        </is>
      </c>
      <c r="E7" s="10" t="inlineStr">
        <is>
          <t>Ergonomic Keyboard</t>
        </is>
      </c>
      <c r="F7" s="10" t="inlineStr">
        <is>
          <t>Accessories</t>
        </is>
      </c>
      <c r="G7" s="11" t="n">
        <v>1</v>
      </c>
      <c r="H7" s="12" t="n">
        <v>75</v>
      </c>
      <c r="I7" s="13" t="n">
        <v>0</v>
      </c>
      <c r="J7" s="12" t="n">
        <v>75</v>
      </c>
      <c r="K7" s="9" t="inlineStr">
        <is>
          <t>2025-05-27</t>
        </is>
      </c>
      <c r="L7" s="9" t="inlineStr">
        <is>
          <t>Shipped</t>
        </is>
      </c>
    </row>
    <row r="8">
      <c r="A8" s="9" t="inlineStr">
        <is>
          <t>TXN-2007</t>
        </is>
      </c>
      <c r="B8" s="9" t="inlineStr">
        <is>
          <t>CUST-208</t>
        </is>
      </c>
      <c r="C8" s="10" t="inlineStr">
        <is>
          <t>Priya Deshmukh</t>
        </is>
      </c>
      <c r="D8" s="9" t="inlineStr">
        <is>
          <t>Central</t>
        </is>
      </c>
      <c r="E8" s="10" t="inlineStr">
        <is>
          <t>USB-C Hub</t>
        </is>
      </c>
      <c r="F8" s="10" t="inlineStr">
        <is>
          <t>Accessories</t>
        </is>
      </c>
      <c r="G8" s="11" t="n">
        <v>2</v>
      </c>
      <c r="H8" s="12" t="n">
        <v>45</v>
      </c>
      <c r="I8" s="13" t="n">
        <v>0.05</v>
      </c>
      <c r="J8" s="12" t="n">
        <v>85.5</v>
      </c>
      <c r="K8" s="9" t="inlineStr">
        <is>
          <t>2026-01-26</t>
        </is>
      </c>
      <c r="L8" s="9" t="inlineStr">
        <is>
          <t>Completed</t>
        </is>
      </c>
    </row>
    <row r="9">
      <c r="A9" s="9" t="inlineStr">
        <is>
          <t>TXN-2008</t>
        </is>
      </c>
      <c r="B9" s="9" t="inlineStr">
        <is>
          <t>CUST-209</t>
        </is>
      </c>
      <c r="C9" s="10" t="inlineStr">
        <is>
          <t>Reyansh Verma</t>
        </is>
      </c>
      <c r="D9" s="9" t="inlineStr">
        <is>
          <t>Central</t>
        </is>
      </c>
      <c r="E9" s="10" t="inlineStr">
        <is>
          <t>Ergonomic Keyboard</t>
        </is>
      </c>
      <c r="F9" s="10" t="inlineStr">
        <is>
          <t>Accessories</t>
        </is>
      </c>
      <c r="G9" s="11" t="n">
        <v>1</v>
      </c>
      <c r="H9" s="12" t="n">
        <v>75</v>
      </c>
      <c r="I9" s="13" t="n">
        <v>0</v>
      </c>
      <c r="J9" s="12" t="n">
        <v>75</v>
      </c>
      <c r="K9" s="9" t="inlineStr">
        <is>
          <t>2026-03-11</t>
        </is>
      </c>
      <c r="L9" s="9" t="inlineStr">
        <is>
          <t>Pending</t>
        </is>
      </c>
    </row>
    <row r="10">
      <c r="A10" s="9" t="inlineStr">
        <is>
          <t>TXN-2009</t>
        </is>
      </c>
      <c r="B10" s="9" t="inlineStr">
        <is>
          <t>CUST-210</t>
        </is>
      </c>
      <c r="C10" s="10" t="inlineStr">
        <is>
          <t>Priya Gupta</t>
        </is>
      </c>
      <c r="D10" s="9" t="inlineStr">
        <is>
          <t>North</t>
        </is>
      </c>
      <c r="E10" s="10" t="inlineStr">
        <is>
          <t>Wireless Mouse</t>
        </is>
      </c>
      <c r="F10" s="10" t="inlineStr">
        <is>
          <t>Accessories</t>
        </is>
      </c>
      <c r="G10" s="11" t="n">
        <v>2</v>
      </c>
      <c r="H10" s="12" t="n">
        <v>25</v>
      </c>
      <c r="I10" s="13" t="n">
        <v>0</v>
      </c>
      <c r="J10" s="12" t="n">
        <v>50</v>
      </c>
      <c r="K10" s="9" t="inlineStr">
        <is>
          <t>2025-11-01</t>
        </is>
      </c>
      <c r="L10" s="9" t="inlineStr">
        <is>
          <t>Completed</t>
        </is>
      </c>
    </row>
    <row r="11">
      <c r="A11" s="9" t="inlineStr">
        <is>
          <t>TXN-2010</t>
        </is>
      </c>
      <c r="B11" s="9" t="inlineStr">
        <is>
          <t>CUST-211</t>
        </is>
      </c>
      <c r="C11" s="10" t="inlineStr">
        <is>
          <t>Vihaan Patel</t>
        </is>
      </c>
      <c r="D11" s="9" t="inlineStr">
        <is>
          <t>West</t>
        </is>
      </c>
      <c r="E11" s="10" t="inlineStr">
        <is>
          <t>Ergonomic Keyboard</t>
        </is>
      </c>
      <c r="F11" s="10" t="inlineStr">
        <is>
          <t>Accessories</t>
        </is>
      </c>
      <c r="G11" s="11" t="n">
        <v>1</v>
      </c>
      <c r="H11" s="12" t="n">
        <v>75</v>
      </c>
      <c r="I11" s="13" t="n">
        <v>0</v>
      </c>
      <c r="J11" s="12" t="n">
        <v>75</v>
      </c>
      <c r="K11" s="9" t="inlineStr">
        <is>
          <t>2025-12-21</t>
        </is>
      </c>
      <c r="L11" s="9" t="inlineStr">
        <is>
          <t>Pending</t>
        </is>
      </c>
    </row>
    <row r="12">
      <c r="A12" s="9" t="inlineStr">
        <is>
          <t>TXN-2011</t>
        </is>
      </c>
      <c r="B12" s="9" t="inlineStr">
        <is>
          <t>CUST-212</t>
        </is>
      </c>
      <c r="C12" s="10" t="inlineStr">
        <is>
          <t>Karan Singh</t>
        </is>
      </c>
      <c r="D12" s="9" t="inlineStr">
        <is>
          <t>South</t>
        </is>
      </c>
      <c r="E12" s="10" t="inlineStr">
        <is>
          <t>External SSD 1TB</t>
        </is>
      </c>
      <c r="F12" s="10" t="inlineStr">
        <is>
          <t>Storage</t>
        </is>
      </c>
      <c r="G12" s="11" t="n">
        <v>3</v>
      </c>
      <c r="H12" s="12" t="n">
        <v>130</v>
      </c>
      <c r="I12" s="13" t="n">
        <v>0</v>
      </c>
      <c r="J12" s="12" t="n">
        <v>390</v>
      </c>
      <c r="K12" s="9" t="inlineStr">
        <is>
          <t>2026-04-13</t>
        </is>
      </c>
      <c r="L12" s="9" t="inlineStr">
        <is>
          <t>Completed</t>
        </is>
      </c>
    </row>
    <row r="13">
      <c r="A13" s="9" t="inlineStr">
        <is>
          <t>TXN-2012</t>
        </is>
      </c>
      <c r="B13" s="9" t="inlineStr">
        <is>
          <t>CUST-213</t>
        </is>
      </c>
      <c r="C13" s="10" t="inlineStr">
        <is>
          <t>Ayaan Verma</t>
        </is>
      </c>
      <c r="D13" s="9" t="inlineStr">
        <is>
          <t>South</t>
        </is>
      </c>
      <c r="E13" s="10" t="inlineStr">
        <is>
          <t>Noise-Canceling Headphones</t>
        </is>
      </c>
      <c r="F13" s="10" t="inlineStr">
        <is>
          <t>Audio</t>
        </is>
      </c>
      <c r="G13" s="11" t="n">
        <v>3</v>
      </c>
      <c r="H13" s="12" t="n">
        <v>180</v>
      </c>
      <c r="I13" s="13" t="n">
        <v>0.05</v>
      </c>
      <c r="J13" s="12" t="n">
        <v>513</v>
      </c>
      <c r="K13" s="9" t="inlineStr">
        <is>
          <t>2025-04-10</t>
        </is>
      </c>
      <c r="L13" s="9" t="inlineStr">
        <is>
          <t>Completed</t>
        </is>
      </c>
    </row>
    <row r="14">
      <c r="A14" s="9" t="inlineStr">
        <is>
          <t>TXN-2013</t>
        </is>
      </c>
      <c r="B14" s="9" t="inlineStr">
        <is>
          <t>CUST-214</t>
        </is>
      </c>
      <c r="C14" s="10" t="inlineStr">
        <is>
          <t>Rahul Shah</t>
        </is>
      </c>
      <c r="D14" s="9" t="inlineStr">
        <is>
          <t>North</t>
        </is>
      </c>
      <c r="E14" s="10" t="inlineStr">
        <is>
          <t>Laptop Pro</t>
        </is>
      </c>
      <c r="F14" s="10" t="inlineStr">
        <is>
          <t>Electronics</t>
        </is>
      </c>
      <c r="G14" s="11" t="n">
        <v>2</v>
      </c>
      <c r="H14" s="12" t="n">
        <v>1200</v>
      </c>
      <c r="I14" s="13" t="n">
        <v>0</v>
      </c>
      <c r="J14" s="12" t="n">
        <v>2400</v>
      </c>
      <c r="K14" s="9" t="inlineStr">
        <is>
          <t>2025-11-12</t>
        </is>
      </c>
      <c r="L14" s="9" t="inlineStr">
        <is>
          <t>Completed</t>
        </is>
      </c>
    </row>
    <row r="15">
      <c r="A15" s="9" t="inlineStr">
        <is>
          <t>TXN-2014</t>
        </is>
      </c>
      <c r="B15" s="9" t="inlineStr">
        <is>
          <t>CUST-215</t>
        </is>
      </c>
      <c r="C15" s="10" t="inlineStr">
        <is>
          <t>Sneha Sharma</t>
        </is>
      </c>
      <c r="D15" s="9" t="inlineStr">
        <is>
          <t>Central</t>
        </is>
      </c>
      <c r="E15" s="10" t="inlineStr">
        <is>
          <t>Ergonomic Keyboard</t>
        </is>
      </c>
      <c r="F15" s="10" t="inlineStr">
        <is>
          <t>Accessories</t>
        </is>
      </c>
      <c r="G15" s="11" t="n">
        <v>2</v>
      </c>
      <c r="H15" s="12" t="n">
        <v>75</v>
      </c>
      <c r="I15" s="13" t="n">
        <v>0</v>
      </c>
      <c r="J15" s="12" t="n">
        <v>150</v>
      </c>
      <c r="K15" s="9" t="inlineStr">
        <is>
          <t>2026-05-02</t>
        </is>
      </c>
      <c r="L15" s="9" t="inlineStr">
        <is>
          <t>Completed</t>
        </is>
      </c>
    </row>
    <row r="16">
      <c r="A16" s="9" t="inlineStr">
        <is>
          <t>TXN-2015</t>
        </is>
      </c>
      <c r="B16" s="9" t="inlineStr">
        <is>
          <t>CUST-216</t>
        </is>
      </c>
      <c r="C16" s="10" t="inlineStr">
        <is>
          <t>Priya Patel</t>
        </is>
      </c>
      <c r="D16" s="9" t="inlineStr">
        <is>
          <t>Central</t>
        </is>
      </c>
      <c r="E16" s="10" t="inlineStr">
        <is>
          <t>USB-C Hub</t>
        </is>
      </c>
      <c r="F16" s="10" t="inlineStr">
        <is>
          <t>Accessories</t>
        </is>
      </c>
      <c r="G16" s="11" t="n">
        <v>2</v>
      </c>
      <c r="H16" s="12" t="n">
        <v>45</v>
      </c>
      <c r="I16" s="13" t="n">
        <v>0</v>
      </c>
      <c r="J16" s="12" t="n">
        <v>90</v>
      </c>
      <c r="K16" s="9" t="inlineStr">
        <is>
          <t>2025-05-22</t>
        </is>
      </c>
      <c r="L16" s="9" t="inlineStr">
        <is>
          <t>Pending</t>
        </is>
      </c>
    </row>
    <row r="17">
      <c r="A17" s="9" t="inlineStr">
        <is>
          <t>TXN-2016</t>
        </is>
      </c>
      <c r="B17" s="9" t="inlineStr">
        <is>
          <t>CUST-217</t>
        </is>
      </c>
      <c r="C17" s="10" t="inlineStr">
        <is>
          <t>Arjun Kumar</t>
        </is>
      </c>
      <c r="D17" s="9" t="inlineStr">
        <is>
          <t>North</t>
        </is>
      </c>
      <c r="E17" s="10" t="inlineStr">
        <is>
          <t>Laptop Pro</t>
        </is>
      </c>
      <c r="F17" s="10" t="inlineStr">
        <is>
          <t>Electronics</t>
        </is>
      </c>
      <c r="G17" s="11" t="n">
        <v>1</v>
      </c>
      <c r="H17" s="12" t="n">
        <v>1200</v>
      </c>
      <c r="I17" s="13" t="n">
        <v>0</v>
      </c>
      <c r="J17" s="12" t="n">
        <v>1200</v>
      </c>
      <c r="K17" s="9" t="inlineStr">
        <is>
          <t>2025-02-28</t>
        </is>
      </c>
      <c r="L17" s="9" t="inlineStr">
        <is>
          <t>Completed</t>
        </is>
      </c>
    </row>
    <row r="18">
      <c r="A18" s="9" t="inlineStr">
        <is>
          <t>TXN-2017</t>
        </is>
      </c>
      <c r="B18" s="9" t="inlineStr">
        <is>
          <t>CUST-218</t>
        </is>
      </c>
      <c r="C18" s="10" t="inlineStr">
        <is>
          <t>Vivaan Deshmukh</t>
        </is>
      </c>
      <c r="D18" s="9" t="inlineStr">
        <is>
          <t>South</t>
        </is>
      </c>
      <c r="E18" s="10" t="inlineStr">
        <is>
          <t>External SSD 1TB</t>
        </is>
      </c>
      <c r="F18" s="10" t="inlineStr">
        <is>
          <t>Storage</t>
        </is>
      </c>
      <c r="G18" s="11" t="n">
        <v>1</v>
      </c>
      <c r="H18" s="12" t="n">
        <v>130</v>
      </c>
      <c r="I18" s="13" t="n">
        <v>0.05</v>
      </c>
      <c r="J18" s="12" t="n">
        <v>123.5</v>
      </c>
      <c r="K18" s="9" t="inlineStr">
        <is>
          <t>2026-04-06</t>
        </is>
      </c>
      <c r="L18" s="9" t="inlineStr">
        <is>
          <t>Completed</t>
        </is>
      </c>
    </row>
    <row r="19">
      <c r="A19" s="9" t="inlineStr">
        <is>
          <t>TXN-2018</t>
        </is>
      </c>
      <c r="B19" s="9" t="inlineStr">
        <is>
          <t>CUST-219</t>
        </is>
      </c>
      <c r="C19" s="10" t="inlineStr">
        <is>
          <t>Sneha Kumar</t>
        </is>
      </c>
      <c r="D19" s="9" t="inlineStr">
        <is>
          <t>North</t>
        </is>
      </c>
      <c r="E19" s="10" t="inlineStr">
        <is>
          <t>Noise-Canceling Headphones</t>
        </is>
      </c>
      <c r="F19" s="10" t="inlineStr">
        <is>
          <t>Audio</t>
        </is>
      </c>
      <c r="G19" s="11" t="n">
        <v>2</v>
      </c>
      <c r="H19" s="12" t="n">
        <v>180</v>
      </c>
      <c r="I19" s="13" t="n">
        <v>0.1</v>
      </c>
      <c r="J19" s="12" t="n">
        <v>324</v>
      </c>
      <c r="K19" s="9" t="inlineStr">
        <is>
          <t>2025-07-26</t>
        </is>
      </c>
      <c r="L19" s="9" t="inlineStr">
        <is>
          <t>Pending</t>
        </is>
      </c>
    </row>
    <row r="20">
      <c r="A20" s="9" t="inlineStr">
        <is>
          <t>TXN-2019</t>
        </is>
      </c>
      <c r="B20" s="9" t="inlineStr">
        <is>
          <t>CUST-220</t>
        </is>
      </c>
      <c r="C20" s="10" t="inlineStr">
        <is>
          <t>Vivaan Patel</t>
        </is>
      </c>
      <c r="D20" s="9" t="inlineStr">
        <is>
          <t>East</t>
        </is>
      </c>
      <c r="E20" s="10" t="inlineStr">
        <is>
          <t>Wireless Mouse</t>
        </is>
      </c>
      <c r="F20" s="10" t="inlineStr">
        <is>
          <t>Accessories</t>
        </is>
      </c>
      <c r="G20" s="11" t="n">
        <v>2</v>
      </c>
      <c r="H20" s="12" t="n">
        <v>25</v>
      </c>
      <c r="I20" s="13" t="n">
        <v>0</v>
      </c>
      <c r="J20" s="12" t="n">
        <v>50</v>
      </c>
      <c r="K20" s="9" t="inlineStr">
        <is>
          <t>2026-07-17</t>
        </is>
      </c>
      <c r="L20" s="9" t="inlineStr">
        <is>
          <t>Completed</t>
        </is>
      </c>
    </row>
    <row r="21">
      <c r="A21" s="9" t="inlineStr">
        <is>
          <t>TXN-2020</t>
        </is>
      </c>
      <c r="B21" s="9" t="inlineStr">
        <is>
          <t>CUST-221</t>
        </is>
      </c>
      <c r="C21" s="10" t="inlineStr">
        <is>
          <t>Neha Reddy</t>
        </is>
      </c>
      <c r="D21" s="9" t="inlineStr">
        <is>
          <t>South</t>
        </is>
      </c>
      <c r="E21" s="10" t="inlineStr">
        <is>
          <t>Ergonomic Keyboard</t>
        </is>
      </c>
      <c r="F21" s="10" t="inlineStr">
        <is>
          <t>Accessories</t>
        </is>
      </c>
      <c r="G21" s="11" t="n">
        <v>1</v>
      </c>
      <c r="H21" s="12" t="n">
        <v>75</v>
      </c>
      <c r="I21" s="13" t="n">
        <v>0</v>
      </c>
      <c r="J21" s="12" t="n">
        <v>75</v>
      </c>
      <c r="K21" s="9" t="inlineStr">
        <is>
          <t>2026-05-19</t>
        </is>
      </c>
      <c r="L21" s="9" t="inlineStr">
        <is>
          <t>Cancelled</t>
        </is>
      </c>
    </row>
    <row r="22">
      <c r="A22" s="9" t="inlineStr">
        <is>
          <t>TXN-2021</t>
        </is>
      </c>
      <c r="B22" s="9" t="inlineStr">
        <is>
          <t>CUST-222</t>
        </is>
      </c>
      <c r="C22" s="10" t="inlineStr">
        <is>
          <t>Vihaan Bose</t>
        </is>
      </c>
      <c r="D22" s="9" t="inlineStr">
        <is>
          <t>East</t>
        </is>
      </c>
      <c r="E22" s="10" t="inlineStr">
        <is>
          <t>Ultra HD Monitor</t>
        </is>
      </c>
      <c r="F22" s="10" t="inlineStr">
        <is>
          <t>Electronics</t>
        </is>
      </c>
      <c r="G22" s="11" t="n">
        <v>2</v>
      </c>
      <c r="H22" s="12" t="n">
        <v>350</v>
      </c>
      <c r="I22" s="13" t="n">
        <v>0</v>
      </c>
      <c r="J22" s="12" t="n">
        <v>700</v>
      </c>
      <c r="K22" s="9" t="inlineStr">
        <is>
          <t>2026-07-12</t>
        </is>
      </c>
      <c r="L22" s="9" t="inlineStr">
        <is>
          <t>Completed</t>
        </is>
      </c>
    </row>
    <row r="23">
      <c r="A23" s="9" t="inlineStr">
        <is>
          <t>TXN-2022</t>
        </is>
      </c>
      <c r="B23" s="9" t="inlineStr">
        <is>
          <t>CUST-223</t>
        </is>
      </c>
      <c r="C23" s="10" t="inlineStr">
        <is>
          <t>Rohan Bose</t>
        </is>
      </c>
      <c r="D23" s="9" t="inlineStr">
        <is>
          <t>North</t>
        </is>
      </c>
      <c r="E23" s="10" t="inlineStr">
        <is>
          <t>Ergonomic Keyboard</t>
        </is>
      </c>
      <c r="F23" s="10" t="inlineStr">
        <is>
          <t>Accessories</t>
        </is>
      </c>
      <c r="G23" s="11" t="n">
        <v>1</v>
      </c>
      <c r="H23" s="12" t="n">
        <v>75</v>
      </c>
      <c r="I23" s="13" t="n">
        <v>0</v>
      </c>
      <c r="J23" s="12" t="n">
        <v>75</v>
      </c>
      <c r="K23" s="9" t="inlineStr">
        <is>
          <t>2026-05-18</t>
        </is>
      </c>
      <c r="L23" s="9" t="inlineStr">
        <is>
          <t>Shipped</t>
        </is>
      </c>
    </row>
    <row r="24">
      <c r="A24" s="9" t="inlineStr">
        <is>
          <t>TXN-2023</t>
        </is>
      </c>
      <c r="B24" s="9" t="inlineStr">
        <is>
          <t>CUST-224</t>
        </is>
      </c>
      <c r="C24" s="10" t="inlineStr">
        <is>
          <t>Arjun Mehta</t>
        </is>
      </c>
      <c r="D24" s="9" t="inlineStr">
        <is>
          <t>South</t>
        </is>
      </c>
      <c r="E24" s="10" t="inlineStr">
        <is>
          <t>Noise-Canceling Headphones</t>
        </is>
      </c>
      <c r="F24" s="10" t="inlineStr">
        <is>
          <t>Audio</t>
        </is>
      </c>
      <c r="G24" s="11" t="n">
        <v>3</v>
      </c>
      <c r="H24" s="12" t="n">
        <v>180</v>
      </c>
      <c r="I24" s="13" t="n">
        <v>0</v>
      </c>
      <c r="J24" s="12" t="n">
        <v>540</v>
      </c>
      <c r="K24" s="9" t="inlineStr">
        <is>
          <t>2025-07-14</t>
        </is>
      </c>
      <c r="L24" s="9" t="inlineStr">
        <is>
          <t>Pending</t>
        </is>
      </c>
    </row>
    <row r="25">
      <c r="A25" s="9" t="inlineStr">
        <is>
          <t>TXN-2024</t>
        </is>
      </c>
      <c r="B25" s="9" t="inlineStr">
        <is>
          <t>CUST-225</t>
        </is>
      </c>
      <c r="C25" s="10" t="inlineStr">
        <is>
          <t>Diya Bose</t>
        </is>
      </c>
      <c r="D25" s="9" t="inlineStr">
        <is>
          <t>South</t>
        </is>
      </c>
      <c r="E25" s="10" t="inlineStr">
        <is>
          <t>USB-C Hub</t>
        </is>
      </c>
      <c r="F25" s="10" t="inlineStr">
        <is>
          <t>Accessories</t>
        </is>
      </c>
      <c r="G25" s="11" t="n">
        <v>2</v>
      </c>
      <c r="H25" s="12" t="n">
        <v>45</v>
      </c>
      <c r="I25" s="13" t="n">
        <v>0.1</v>
      </c>
      <c r="J25" s="12" t="n">
        <v>81</v>
      </c>
      <c r="K25" s="9" t="inlineStr">
        <is>
          <t>2025-10-18</t>
        </is>
      </c>
      <c r="L25" s="9" t="inlineStr">
        <is>
          <t>Completed</t>
        </is>
      </c>
    </row>
    <row r="26">
      <c r="A26" s="9" t="inlineStr">
        <is>
          <t>TXN-2025</t>
        </is>
      </c>
      <c r="B26" s="9" t="inlineStr">
        <is>
          <t>CUST-226</t>
        </is>
      </c>
      <c r="C26" s="10" t="inlineStr">
        <is>
          <t>Sneha Malhotra</t>
        </is>
      </c>
      <c r="D26" s="9" t="inlineStr">
        <is>
          <t>West</t>
        </is>
      </c>
      <c r="E26" s="10" t="inlineStr">
        <is>
          <t>Ultra HD Monitor</t>
        </is>
      </c>
      <c r="F26" s="10" t="inlineStr">
        <is>
          <t>Electronics</t>
        </is>
      </c>
      <c r="G26" s="11" t="n">
        <v>3</v>
      </c>
      <c r="H26" s="12" t="n">
        <v>350</v>
      </c>
      <c r="I26" s="13" t="n">
        <v>0.05</v>
      </c>
      <c r="J26" s="12" t="n">
        <v>997.5</v>
      </c>
      <c r="K26" s="9" t="inlineStr">
        <is>
          <t>2025-10-09</t>
        </is>
      </c>
      <c r="L26" s="9" t="inlineStr">
        <is>
          <t>Completed</t>
        </is>
      </c>
    </row>
    <row r="27">
      <c r="A27" s="9" t="inlineStr">
        <is>
          <t>TXN-2026</t>
        </is>
      </c>
      <c r="B27" s="9" t="inlineStr">
        <is>
          <t>CUST-227</t>
        </is>
      </c>
      <c r="C27" s="10" t="inlineStr">
        <is>
          <t>Vivaan Kumar</t>
        </is>
      </c>
      <c r="D27" s="9" t="inlineStr">
        <is>
          <t>South</t>
        </is>
      </c>
      <c r="E27" s="10" t="inlineStr">
        <is>
          <t>External SSD 1TB</t>
        </is>
      </c>
      <c r="F27" s="10" t="inlineStr">
        <is>
          <t>Storage</t>
        </is>
      </c>
      <c r="G27" s="11" t="n">
        <v>1</v>
      </c>
      <c r="H27" s="12" t="n">
        <v>130</v>
      </c>
      <c r="I27" s="13" t="n">
        <v>0</v>
      </c>
      <c r="J27" s="12" t="n">
        <v>130</v>
      </c>
      <c r="K27" s="9" t="inlineStr">
        <is>
          <t>2025-08-09</t>
        </is>
      </c>
      <c r="L27" s="9" t="inlineStr">
        <is>
          <t>Shipped</t>
        </is>
      </c>
    </row>
    <row r="28">
      <c r="A28" s="9" t="inlineStr">
        <is>
          <t>TXN-2027</t>
        </is>
      </c>
      <c r="B28" s="9" t="inlineStr">
        <is>
          <t>CUST-228</t>
        </is>
      </c>
      <c r="C28" s="10" t="inlineStr">
        <is>
          <t>Arjun Malhotra</t>
        </is>
      </c>
      <c r="D28" s="9" t="inlineStr">
        <is>
          <t>Central</t>
        </is>
      </c>
      <c r="E28" s="10" t="inlineStr">
        <is>
          <t>Smart Tablet</t>
        </is>
      </c>
      <c r="F28" s="10" t="inlineStr">
        <is>
          <t>Electronics</t>
        </is>
      </c>
      <c r="G28" s="11" t="n">
        <v>1</v>
      </c>
      <c r="H28" s="12" t="n">
        <v>450</v>
      </c>
      <c r="I28" s="13" t="n">
        <v>0</v>
      </c>
      <c r="J28" s="12" t="n">
        <v>450</v>
      </c>
      <c r="K28" s="9" t="inlineStr">
        <is>
          <t>2025-02-14</t>
        </is>
      </c>
      <c r="L28" s="9" t="inlineStr">
        <is>
          <t>Pending</t>
        </is>
      </c>
    </row>
    <row r="29">
      <c r="A29" s="9" t="inlineStr">
        <is>
          <t>TXN-2028</t>
        </is>
      </c>
      <c r="B29" s="9" t="inlineStr">
        <is>
          <t>CUST-229</t>
        </is>
      </c>
      <c r="C29" s="10" t="inlineStr">
        <is>
          <t>Sneha Kumar</t>
        </is>
      </c>
      <c r="D29" s="9" t="inlineStr">
        <is>
          <t>Central</t>
        </is>
      </c>
      <c r="E29" s="10" t="inlineStr">
        <is>
          <t>Smart Tablet</t>
        </is>
      </c>
      <c r="F29" s="10" t="inlineStr">
        <is>
          <t>Electronics</t>
        </is>
      </c>
      <c r="G29" s="11" t="n">
        <v>1</v>
      </c>
      <c r="H29" s="12" t="n">
        <v>450</v>
      </c>
      <c r="I29" s="13" t="n">
        <v>0</v>
      </c>
      <c r="J29" s="12" t="n">
        <v>450</v>
      </c>
      <c r="K29" s="9" t="inlineStr">
        <is>
          <t>2025-09-05</t>
        </is>
      </c>
      <c r="L29" s="9" t="inlineStr">
        <is>
          <t>Completed</t>
        </is>
      </c>
    </row>
    <row r="30">
      <c r="A30" s="9" t="inlineStr">
        <is>
          <t>TXN-2029</t>
        </is>
      </c>
      <c r="B30" s="9" t="inlineStr">
        <is>
          <t>CUST-230</t>
        </is>
      </c>
      <c r="C30" s="10" t="inlineStr">
        <is>
          <t>Rahul Deshmukh</t>
        </is>
      </c>
      <c r="D30" s="9" t="inlineStr">
        <is>
          <t>Central</t>
        </is>
      </c>
      <c r="E30" s="10" t="inlineStr">
        <is>
          <t>Laptop Pro</t>
        </is>
      </c>
      <c r="F30" s="10" t="inlineStr">
        <is>
          <t>Electronics</t>
        </is>
      </c>
      <c r="G30" s="11" t="n">
        <v>1</v>
      </c>
      <c r="H30" s="12" t="n">
        <v>1200</v>
      </c>
      <c r="I30" s="13" t="n">
        <v>0.1</v>
      </c>
      <c r="J30" s="12" t="n">
        <v>1080</v>
      </c>
      <c r="K30" s="9" t="inlineStr">
        <is>
          <t>2026-05-10</t>
        </is>
      </c>
      <c r="L30" s="9" t="inlineStr">
        <is>
          <t>Completed</t>
        </is>
      </c>
    </row>
    <row r="31">
      <c r="A31" s="9" t="inlineStr">
        <is>
          <t>TXN-2030</t>
        </is>
      </c>
      <c r="B31" s="9" t="inlineStr">
        <is>
          <t>CUST-231</t>
        </is>
      </c>
      <c r="C31" s="10" t="inlineStr">
        <is>
          <t>Arjun Shah</t>
        </is>
      </c>
      <c r="D31" s="9" t="inlineStr">
        <is>
          <t>East</t>
        </is>
      </c>
      <c r="E31" s="10" t="inlineStr">
        <is>
          <t>Laptop Pro</t>
        </is>
      </c>
      <c r="F31" s="10" t="inlineStr">
        <is>
          <t>Electronics</t>
        </is>
      </c>
      <c r="G31" s="11" t="n">
        <v>2</v>
      </c>
      <c r="H31" s="12" t="n">
        <v>1200</v>
      </c>
      <c r="I31" s="13" t="n">
        <v>0</v>
      </c>
      <c r="J31" s="12" t="n">
        <v>2400</v>
      </c>
      <c r="K31" s="9" t="inlineStr">
        <is>
          <t>2026-04-12</t>
        </is>
      </c>
      <c r="L31" s="9" t="inlineStr">
        <is>
          <t>Completed</t>
        </is>
      </c>
    </row>
    <row r="32">
      <c r="A32" s="9" t="inlineStr">
        <is>
          <t>TXN-2031</t>
        </is>
      </c>
      <c r="B32" s="9" t="inlineStr">
        <is>
          <t>CUST-232</t>
        </is>
      </c>
      <c r="C32" s="10" t="inlineStr">
        <is>
          <t>Ayaan Verma</t>
        </is>
      </c>
      <c r="D32" s="9" t="inlineStr">
        <is>
          <t>South</t>
        </is>
      </c>
      <c r="E32" s="10" t="inlineStr">
        <is>
          <t>Laptop Pro</t>
        </is>
      </c>
      <c r="F32" s="10" t="inlineStr">
        <is>
          <t>Electronics</t>
        </is>
      </c>
      <c r="G32" s="11" t="n">
        <v>1</v>
      </c>
      <c r="H32" s="12" t="n">
        <v>1200</v>
      </c>
      <c r="I32" s="13" t="n">
        <v>0.05</v>
      </c>
      <c r="J32" s="12" t="n">
        <v>1140</v>
      </c>
      <c r="K32" s="9" t="inlineStr">
        <is>
          <t>2026-05-26</t>
        </is>
      </c>
      <c r="L32" s="9" t="inlineStr">
        <is>
          <t>Completed</t>
        </is>
      </c>
    </row>
    <row r="33">
      <c r="A33" s="9" t="inlineStr">
        <is>
          <t>TXN-2032</t>
        </is>
      </c>
      <c r="B33" s="9" t="inlineStr">
        <is>
          <t>CUST-233</t>
        </is>
      </c>
      <c r="C33" s="10" t="inlineStr">
        <is>
          <t>Aarav Patel</t>
        </is>
      </c>
      <c r="D33" s="9" t="inlineStr">
        <is>
          <t>West</t>
        </is>
      </c>
      <c r="E33" s="10" t="inlineStr">
        <is>
          <t>Wireless Mouse</t>
        </is>
      </c>
      <c r="F33" s="10" t="inlineStr">
        <is>
          <t>Accessories</t>
        </is>
      </c>
      <c r="G33" s="11" t="n">
        <v>3</v>
      </c>
      <c r="H33" s="12" t="n">
        <v>25</v>
      </c>
      <c r="I33" s="13" t="n">
        <v>0</v>
      </c>
      <c r="J33" s="12" t="n">
        <v>75</v>
      </c>
      <c r="K33" s="9" t="inlineStr">
        <is>
          <t>2026-05-17</t>
        </is>
      </c>
      <c r="L33" s="9" t="inlineStr">
        <is>
          <t>Completed</t>
        </is>
      </c>
    </row>
    <row r="34">
      <c r="A34" s="9" t="inlineStr">
        <is>
          <t>TXN-2033</t>
        </is>
      </c>
      <c r="B34" s="9" t="inlineStr">
        <is>
          <t>CUST-234</t>
        </is>
      </c>
      <c r="C34" s="10" t="inlineStr">
        <is>
          <t>Karan Shah</t>
        </is>
      </c>
      <c r="D34" s="9" t="inlineStr">
        <is>
          <t>South</t>
        </is>
      </c>
      <c r="E34" s="10" t="inlineStr">
        <is>
          <t>Wireless Mouse</t>
        </is>
      </c>
      <c r="F34" s="10" t="inlineStr">
        <is>
          <t>Accessories</t>
        </is>
      </c>
      <c r="G34" s="11" t="n">
        <v>3</v>
      </c>
      <c r="H34" s="12" t="n">
        <v>25</v>
      </c>
      <c r="I34" s="13" t="n">
        <v>0</v>
      </c>
      <c r="J34" s="12" t="n">
        <v>75</v>
      </c>
      <c r="K34" s="9" t="inlineStr">
        <is>
          <t>2026-08-13</t>
        </is>
      </c>
      <c r="L34" s="9" t="inlineStr">
        <is>
          <t>Pending</t>
        </is>
      </c>
    </row>
    <row r="35">
      <c r="A35" s="9" t="inlineStr">
        <is>
          <t>TXN-2034</t>
        </is>
      </c>
      <c r="B35" s="9" t="inlineStr">
        <is>
          <t>CUST-235</t>
        </is>
      </c>
      <c r="C35" s="10" t="inlineStr">
        <is>
          <t>Ayaan Malhotra</t>
        </is>
      </c>
      <c r="D35" s="9" t="inlineStr">
        <is>
          <t>North</t>
        </is>
      </c>
      <c r="E35" s="10" t="inlineStr">
        <is>
          <t>Noise-Canceling Headphones</t>
        </is>
      </c>
      <c r="F35" s="10" t="inlineStr">
        <is>
          <t>Audio</t>
        </is>
      </c>
      <c r="G35" s="11" t="n">
        <v>1</v>
      </c>
      <c r="H35" s="12" t="n">
        <v>180</v>
      </c>
      <c r="I35" s="13" t="n">
        <v>0</v>
      </c>
      <c r="J35" s="12" t="n">
        <v>180</v>
      </c>
      <c r="K35" s="9" t="inlineStr">
        <is>
          <t>2026-03-16</t>
        </is>
      </c>
      <c r="L35" s="9" t="inlineStr">
        <is>
          <t>Completed</t>
        </is>
      </c>
    </row>
    <row r="36">
      <c r="A36" s="9" t="inlineStr">
        <is>
          <t>TXN-2035</t>
        </is>
      </c>
      <c r="B36" s="9" t="inlineStr">
        <is>
          <t>CUST-236</t>
        </is>
      </c>
      <c r="C36" s="10" t="inlineStr">
        <is>
          <t>Karan Sharma</t>
        </is>
      </c>
      <c r="D36" s="9" t="inlineStr">
        <is>
          <t>South</t>
        </is>
      </c>
      <c r="E36" s="10" t="inlineStr">
        <is>
          <t>USB-C Hub</t>
        </is>
      </c>
      <c r="F36" s="10" t="inlineStr">
        <is>
          <t>Accessories</t>
        </is>
      </c>
      <c r="G36" s="11" t="n">
        <v>1</v>
      </c>
      <c r="H36" s="12" t="n">
        <v>45</v>
      </c>
      <c r="I36" s="13" t="n">
        <v>0.1</v>
      </c>
      <c r="J36" s="12" t="n">
        <v>40.5</v>
      </c>
      <c r="K36" s="9" t="inlineStr">
        <is>
          <t>2025-06-15</t>
        </is>
      </c>
      <c r="L36" s="9" t="inlineStr">
        <is>
          <t>Completed</t>
        </is>
      </c>
    </row>
    <row r="37">
      <c r="A37" s="9" t="inlineStr">
        <is>
          <t>TXN-2036</t>
        </is>
      </c>
      <c r="B37" s="9" t="inlineStr">
        <is>
          <t>CUST-237</t>
        </is>
      </c>
      <c r="C37" s="10" t="inlineStr">
        <is>
          <t>Aditya Joshi</t>
        </is>
      </c>
      <c r="D37" s="9" t="inlineStr">
        <is>
          <t>Central</t>
        </is>
      </c>
      <c r="E37" s="10" t="inlineStr">
        <is>
          <t>Noise-Canceling Headphones</t>
        </is>
      </c>
      <c r="F37" s="10" t="inlineStr">
        <is>
          <t>Audio</t>
        </is>
      </c>
      <c r="G37" s="11" t="n">
        <v>1</v>
      </c>
      <c r="H37" s="12" t="n">
        <v>180</v>
      </c>
      <c r="I37" s="13" t="n">
        <v>0</v>
      </c>
      <c r="J37" s="12" t="n">
        <v>180</v>
      </c>
      <c r="K37" s="9" t="inlineStr">
        <is>
          <t>2025-03-03</t>
        </is>
      </c>
      <c r="L37" s="9" t="inlineStr">
        <is>
          <t>Completed</t>
        </is>
      </c>
    </row>
    <row r="38">
      <c r="A38" s="9" t="inlineStr">
        <is>
          <t>TXN-2037</t>
        </is>
      </c>
      <c r="B38" s="9" t="inlineStr">
        <is>
          <t>CUST-238</t>
        </is>
      </c>
      <c r="C38" s="10" t="inlineStr">
        <is>
          <t>Sai Deshmukh</t>
        </is>
      </c>
      <c r="D38" s="9" t="inlineStr">
        <is>
          <t>South</t>
        </is>
      </c>
      <c r="E38" s="10" t="inlineStr">
        <is>
          <t>Ergonomic Keyboard</t>
        </is>
      </c>
      <c r="F38" s="10" t="inlineStr">
        <is>
          <t>Accessories</t>
        </is>
      </c>
      <c r="G38" s="11" t="n">
        <v>1</v>
      </c>
      <c r="H38" s="12" t="n">
        <v>75</v>
      </c>
      <c r="I38" s="13" t="n">
        <v>0</v>
      </c>
      <c r="J38" s="12" t="n">
        <v>75</v>
      </c>
      <c r="K38" s="9" t="inlineStr">
        <is>
          <t>2026-08-07</t>
        </is>
      </c>
      <c r="L38" s="9" t="inlineStr">
        <is>
          <t>Cancelled</t>
        </is>
      </c>
    </row>
    <row r="39">
      <c r="A39" s="9" t="inlineStr">
        <is>
          <t>TXN-2038</t>
        </is>
      </c>
      <c r="B39" s="9" t="inlineStr">
        <is>
          <t>CUST-239</t>
        </is>
      </c>
      <c r="C39" s="10" t="inlineStr">
        <is>
          <t>Aarav Patel</t>
        </is>
      </c>
      <c r="D39" s="9" t="inlineStr">
        <is>
          <t>South</t>
        </is>
      </c>
      <c r="E39" s="10" t="inlineStr">
        <is>
          <t>Wireless Mouse</t>
        </is>
      </c>
      <c r="F39" s="10" t="inlineStr">
        <is>
          <t>Accessories</t>
        </is>
      </c>
      <c r="G39" s="11" t="n">
        <v>2</v>
      </c>
      <c r="H39" s="12" t="n">
        <v>25</v>
      </c>
      <c r="I39" s="13" t="n">
        <v>0</v>
      </c>
      <c r="J39" s="12" t="n">
        <v>50</v>
      </c>
      <c r="K39" s="9" t="inlineStr">
        <is>
          <t>2025-05-07</t>
        </is>
      </c>
      <c r="L39" s="9" t="inlineStr">
        <is>
          <t>Completed</t>
        </is>
      </c>
    </row>
    <row r="40">
      <c r="A40" s="9" t="inlineStr">
        <is>
          <t>TXN-2039</t>
        </is>
      </c>
      <c r="B40" s="9" t="inlineStr">
        <is>
          <t>CUST-240</t>
        </is>
      </c>
      <c r="C40" s="10" t="inlineStr">
        <is>
          <t>Aditya Gupta</t>
        </is>
      </c>
      <c r="D40" s="9" t="inlineStr">
        <is>
          <t>North</t>
        </is>
      </c>
      <c r="E40" s="10" t="inlineStr">
        <is>
          <t>Noise-Canceling Headphones</t>
        </is>
      </c>
      <c r="F40" s="10" t="inlineStr">
        <is>
          <t>Audio</t>
        </is>
      </c>
      <c r="G40" s="11" t="n">
        <v>1</v>
      </c>
      <c r="H40" s="12" t="n">
        <v>180</v>
      </c>
      <c r="I40" s="13" t="n">
        <v>0</v>
      </c>
      <c r="J40" s="12" t="n">
        <v>180</v>
      </c>
      <c r="K40" s="9" t="inlineStr">
        <is>
          <t>2026-01-02</t>
        </is>
      </c>
      <c r="L40" s="9" t="inlineStr">
        <is>
          <t>Completed</t>
        </is>
      </c>
    </row>
    <row r="41">
      <c r="A41" s="9" t="inlineStr">
        <is>
          <t>TXN-2040</t>
        </is>
      </c>
      <c r="B41" s="9" t="inlineStr">
        <is>
          <t>CUST-241</t>
        </is>
      </c>
      <c r="C41" s="10" t="inlineStr">
        <is>
          <t>Aarav Deshmukh</t>
        </is>
      </c>
      <c r="D41" s="9" t="inlineStr">
        <is>
          <t>West</t>
        </is>
      </c>
      <c r="E41" s="10" t="inlineStr">
        <is>
          <t>Ergonomic Keyboard</t>
        </is>
      </c>
      <c r="F41" s="10" t="inlineStr">
        <is>
          <t>Accessories</t>
        </is>
      </c>
      <c r="G41" s="11" t="n">
        <v>3</v>
      </c>
      <c r="H41" s="12" t="n">
        <v>75</v>
      </c>
      <c r="I41" s="13" t="n">
        <v>0</v>
      </c>
      <c r="J41" s="12" t="n">
        <v>225</v>
      </c>
      <c r="K41" s="9" t="inlineStr">
        <is>
          <t>2025-04-17</t>
        </is>
      </c>
      <c r="L41" s="9" t="inlineStr">
        <is>
          <t>Shipped</t>
        </is>
      </c>
    </row>
    <row r="42">
      <c r="A42" s="9" t="inlineStr">
        <is>
          <t>TXN-2041</t>
        </is>
      </c>
      <c r="B42" s="9" t="inlineStr">
        <is>
          <t>CUST-242</t>
        </is>
      </c>
      <c r="C42" s="10" t="inlineStr">
        <is>
          <t>Ayaan Sharma</t>
        </is>
      </c>
      <c r="D42" s="9" t="inlineStr">
        <is>
          <t>West</t>
        </is>
      </c>
      <c r="E42" s="10" t="inlineStr">
        <is>
          <t>Smart Tablet</t>
        </is>
      </c>
      <c r="F42" s="10" t="inlineStr">
        <is>
          <t>Electronics</t>
        </is>
      </c>
      <c r="G42" s="11" t="n">
        <v>1</v>
      </c>
      <c r="H42" s="12" t="n">
        <v>450</v>
      </c>
      <c r="I42" s="13" t="n">
        <v>0</v>
      </c>
      <c r="J42" s="12" t="n">
        <v>450</v>
      </c>
      <c r="K42" s="9" t="inlineStr">
        <is>
          <t>2025-08-12</t>
        </is>
      </c>
      <c r="L42" s="9" t="inlineStr">
        <is>
          <t>Cancelled</t>
        </is>
      </c>
    </row>
    <row r="43">
      <c r="A43" s="9" t="inlineStr">
        <is>
          <t>TXN-2042</t>
        </is>
      </c>
      <c r="B43" s="9" t="inlineStr">
        <is>
          <t>CUST-243</t>
        </is>
      </c>
      <c r="C43" s="10" t="inlineStr">
        <is>
          <t>Vivaan Kumar</t>
        </is>
      </c>
      <c r="D43" s="9" t="inlineStr">
        <is>
          <t>South</t>
        </is>
      </c>
      <c r="E43" s="10" t="inlineStr">
        <is>
          <t>Noise-Canceling Headphones</t>
        </is>
      </c>
      <c r="F43" s="10" t="inlineStr">
        <is>
          <t>Audio</t>
        </is>
      </c>
      <c r="G43" s="11" t="n">
        <v>1</v>
      </c>
      <c r="H43" s="12" t="n">
        <v>180</v>
      </c>
      <c r="I43" s="13" t="n">
        <v>0.05</v>
      </c>
      <c r="J43" s="12" t="n">
        <v>171</v>
      </c>
      <c r="K43" s="9" t="inlineStr">
        <is>
          <t>2026-02-09</t>
        </is>
      </c>
      <c r="L43" s="9" t="inlineStr">
        <is>
          <t>Cancelled</t>
        </is>
      </c>
    </row>
    <row r="44">
      <c r="A44" s="9" t="inlineStr">
        <is>
          <t>TXN-2043</t>
        </is>
      </c>
      <c r="B44" s="9" t="inlineStr">
        <is>
          <t>CUST-244</t>
        </is>
      </c>
      <c r="C44" s="10" t="inlineStr">
        <is>
          <t>Sai Verma</t>
        </is>
      </c>
      <c r="D44" s="9" t="inlineStr">
        <is>
          <t>Central</t>
        </is>
      </c>
      <c r="E44" s="10" t="inlineStr">
        <is>
          <t>External SSD 1TB</t>
        </is>
      </c>
      <c r="F44" s="10" t="inlineStr">
        <is>
          <t>Storage</t>
        </is>
      </c>
      <c r="G44" s="11" t="n">
        <v>1</v>
      </c>
      <c r="H44" s="12" t="n">
        <v>130</v>
      </c>
      <c r="I44" s="13" t="n">
        <v>0</v>
      </c>
      <c r="J44" s="12" t="n">
        <v>130</v>
      </c>
      <c r="K44" s="9" t="inlineStr">
        <is>
          <t>2026-08-01</t>
        </is>
      </c>
      <c r="L44" s="9" t="inlineStr">
        <is>
          <t>Completed</t>
        </is>
      </c>
    </row>
    <row r="45">
      <c r="A45" s="9" t="inlineStr">
        <is>
          <t>TXN-2044</t>
        </is>
      </c>
      <c r="B45" s="9" t="inlineStr">
        <is>
          <t>CUST-245</t>
        </is>
      </c>
      <c r="C45" s="10" t="inlineStr">
        <is>
          <t>Aadhya Singh</t>
        </is>
      </c>
      <c r="D45" s="9" t="inlineStr">
        <is>
          <t>South</t>
        </is>
      </c>
      <c r="E45" s="10" t="inlineStr">
        <is>
          <t>USB-C Hub</t>
        </is>
      </c>
      <c r="F45" s="10" t="inlineStr">
        <is>
          <t>Accessories</t>
        </is>
      </c>
      <c r="G45" s="11" t="n">
        <v>1</v>
      </c>
      <c r="H45" s="12" t="n">
        <v>45</v>
      </c>
      <c r="I45" s="13" t="n">
        <v>0</v>
      </c>
      <c r="J45" s="12" t="n">
        <v>45</v>
      </c>
      <c r="K45" s="9" t="inlineStr">
        <is>
          <t>2026-07-06</t>
        </is>
      </c>
      <c r="L45" s="9" t="inlineStr">
        <is>
          <t>Completed</t>
        </is>
      </c>
    </row>
    <row r="46">
      <c r="A46" s="9" t="inlineStr">
        <is>
          <t>TXN-2045</t>
        </is>
      </c>
      <c r="B46" s="9" t="inlineStr">
        <is>
          <t>CUST-246</t>
        </is>
      </c>
      <c r="C46" s="10" t="inlineStr">
        <is>
          <t>Priya Gupta</t>
        </is>
      </c>
      <c r="D46" s="9" t="inlineStr">
        <is>
          <t>East</t>
        </is>
      </c>
      <c r="E46" s="10" t="inlineStr">
        <is>
          <t>Smart Tablet</t>
        </is>
      </c>
      <c r="F46" s="10" t="inlineStr">
        <is>
          <t>Electronics</t>
        </is>
      </c>
      <c r="G46" s="11" t="n">
        <v>3</v>
      </c>
      <c r="H46" s="12" t="n">
        <v>450</v>
      </c>
      <c r="I46" s="13" t="n">
        <v>0</v>
      </c>
      <c r="J46" s="12" t="n">
        <v>1350</v>
      </c>
      <c r="K46" s="9" t="inlineStr">
        <is>
          <t>2025-03-18</t>
        </is>
      </c>
      <c r="L46" s="9" t="inlineStr">
        <is>
          <t>Completed</t>
        </is>
      </c>
    </row>
    <row r="47">
      <c r="A47" s="9" t="inlineStr">
        <is>
          <t>TXN-2046</t>
        </is>
      </c>
      <c r="B47" s="9" t="inlineStr">
        <is>
          <t>CUST-247</t>
        </is>
      </c>
      <c r="C47" s="10" t="inlineStr">
        <is>
          <t>Sai Shah</t>
        </is>
      </c>
      <c r="D47" s="9" t="inlineStr">
        <is>
          <t>West</t>
        </is>
      </c>
      <c r="E47" s="10" t="inlineStr">
        <is>
          <t>Ultra HD Monitor</t>
        </is>
      </c>
      <c r="F47" s="10" t="inlineStr">
        <is>
          <t>Electronics</t>
        </is>
      </c>
      <c r="G47" s="11" t="n">
        <v>1</v>
      </c>
      <c r="H47" s="12" t="n">
        <v>350</v>
      </c>
      <c r="I47" s="13" t="n">
        <v>0.15</v>
      </c>
      <c r="J47" s="12" t="n">
        <v>297.5</v>
      </c>
      <c r="K47" s="9" t="inlineStr">
        <is>
          <t>2026-02-06</t>
        </is>
      </c>
      <c r="L47" s="9" t="inlineStr">
        <is>
          <t>Completed</t>
        </is>
      </c>
    </row>
    <row r="48">
      <c r="A48" s="9" t="inlineStr">
        <is>
          <t>TXN-2047</t>
        </is>
      </c>
      <c r="B48" s="9" t="inlineStr">
        <is>
          <t>CUST-248</t>
        </is>
      </c>
      <c r="C48" s="10" t="inlineStr">
        <is>
          <t>Karan Joshi</t>
        </is>
      </c>
      <c r="D48" s="9" t="inlineStr">
        <is>
          <t>North</t>
        </is>
      </c>
      <c r="E48" s="10" t="inlineStr">
        <is>
          <t>External SSD 1TB</t>
        </is>
      </c>
      <c r="F48" s="10" t="inlineStr">
        <is>
          <t>Storage</t>
        </is>
      </c>
      <c r="G48" s="11" t="n">
        <v>2</v>
      </c>
      <c r="H48" s="12" t="n">
        <v>130</v>
      </c>
      <c r="I48" s="13" t="n">
        <v>0</v>
      </c>
      <c r="J48" s="12" t="n">
        <v>260</v>
      </c>
      <c r="K48" s="9" t="inlineStr">
        <is>
          <t>2026-05-25</t>
        </is>
      </c>
      <c r="L48" s="9" t="inlineStr">
        <is>
          <t>Completed</t>
        </is>
      </c>
    </row>
    <row r="49">
      <c r="A49" s="9" t="inlineStr">
        <is>
          <t>TXN-2048</t>
        </is>
      </c>
      <c r="B49" s="9" t="inlineStr">
        <is>
          <t>CUST-249</t>
        </is>
      </c>
      <c r="C49" s="10" t="inlineStr">
        <is>
          <t>Vihaan Kumar</t>
        </is>
      </c>
      <c r="D49" s="9" t="inlineStr">
        <is>
          <t>South</t>
        </is>
      </c>
      <c r="E49" s="10" t="inlineStr">
        <is>
          <t>Ultra HD Monitor</t>
        </is>
      </c>
      <c r="F49" s="10" t="inlineStr">
        <is>
          <t>Electronics</t>
        </is>
      </c>
      <c r="G49" s="11" t="n">
        <v>1</v>
      </c>
      <c r="H49" s="12" t="n">
        <v>350</v>
      </c>
      <c r="I49" s="13" t="n">
        <v>0.05</v>
      </c>
      <c r="J49" s="12" t="n">
        <v>332.5</v>
      </c>
      <c r="K49" s="9" t="inlineStr">
        <is>
          <t>2025-03-13</t>
        </is>
      </c>
      <c r="L49" s="9" t="inlineStr">
        <is>
          <t>Completed</t>
        </is>
      </c>
    </row>
    <row r="50">
      <c r="A50" s="9" t="inlineStr">
        <is>
          <t>TXN-2049</t>
        </is>
      </c>
      <c r="B50" s="9" t="inlineStr">
        <is>
          <t>CUST-250</t>
        </is>
      </c>
      <c r="C50" s="10" t="inlineStr">
        <is>
          <t>Sneha Malhotra</t>
        </is>
      </c>
      <c r="D50" s="9" t="inlineStr">
        <is>
          <t>Central</t>
        </is>
      </c>
      <c r="E50" s="10" t="inlineStr">
        <is>
          <t>USB-C Hub</t>
        </is>
      </c>
      <c r="F50" s="10" t="inlineStr">
        <is>
          <t>Accessories</t>
        </is>
      </c>
      <c r="G50" s="11" t="n">
        <v>2</v>
      </c>
      <c r="H50" s="12" t="n">
        <v>45</v>
      </c>
      <c r="I50" s="13" t="n">
        <v>0.05</v>
      </c>
      <c r="J50" s="12" t="n">
        <v>85.5</v>
      </c>
      <c r="K50" s="9" t="inlineStr">
        <is>
          <t>2026-07-28</t>
        </is>
      </c>
      <c r="L50" s="9" t="inlineStr">
        <is>
          <t>Completed</t>
        </is>
      </c>
    </row>
    <row r="51">
      <c r="A51" s="9" t="inlineStr">
        <is>
          <t>TXN-2050</t>
        </is>
      </c>
      <c r="B51" s="9" t="inlineStr">
        <is>
          <t>CUST-251</t>
        </is>
      </c>
      <c r="C51" s="10" t="inlineStr">
        <is>
          <t>Aadhya Malhotra</t>
        </is>
      </c>
      <c r="D51" s="9" t="inlineStr">
        <is>
          <t>West</t>
        </is>
      </c>
      <c r="E51" s="10" t="inlineStr">
        <is>
          <t>External SSD 1TB</t>
        </is>
      </c>
      <c r="F51" s="10" t="inlineStr">
        <is>
          <t>Storage</t>
        </is>
      </c>
      <c r="G51" s="11" t="n">
        <v>4</v>
      </c>
      <c r="H51" s="12" t="n">
        <v>130</v>
      </c>
      <c r="I51" s="13" t="n">
        <v>0</v>
      </c>
      <c r="J51" s="12" t="n">
        <v>520</v>
      </c>
      <c r="K51" s="9" t="inlineStr">
        <is>
          <t>2025-10-23</t>
        </is>
      </c>
      <c r="L51" s="9" t="inlineStr">
        <is>
          <t>Completed</t>
        </is>
      </c>
    </row>
    <row r="52">
      <c r="A52" s="9" t="inlineStr">
        <is>
          <t>TXN-2051</t>
        </is>
      </c>
      <c r="B52" s="9" t="inlineStr">
        <is>
          <t>CUST-252</t>
        </is>
      </c>
      <c r="C52" s="10" t="inlineStr">
        <is>
          <t>Neha Kumar</t>
        </is>
      </c>
      <c r="D52" s="9" t="inlineStr">
        <is>
          <t>North</t>
        </is>
      </c>
      <c r="E52" s="10" t="inlineStr">
        <is>
          <t>External SSD 1TB</t>
        </is>
      </c>
      <c r="F52" s="10" t="inlineStr">
        <is>
          <t>Storage</t>
        </is>
      </c>
      <c r="G52" s="11" t="n">
        <v>1</v>
      </c>
      <c r="H52" s="12" t="n">
        <v>130</v>
      </c>
      <c r="I52" s="13" t="n">
        <v>0</v>
      </c>
      <c r="J52" s="12" t="n">
        <v>130</v>
      </c>
      <c r="K52" s="9" t="inlineStr">
        <is>
          <t>2025-11-27</t>
        </is>
      </c>
      <c r="L52" s="9" t="inlineStr">
        <is>
          <t>Completed</t>
        </is>
      </c>
    </row>
    <row r="53">
      <c r="A53" s="9" t="inlineStr">
        <is>
          <t>TXN-2052</t>
        </is>
      </c>
      <c r="B53" s="9" t="inlineStr">
        <is>
          <t>CUST-253</t>
        </is>
      </c>
      <c r="C53" s="10" t="inlineStr">
        <is>
          <t>Karan Gupta</t>
        </is>
      </c>
      <c r="D53" s="9" t="inlineStr">
        <is>
          <t>North</t>
        </is>
      </c>
      <c r="E53" s="10" t="inlineStr">
        <is>
          <t>Smart Tablet</t>
        </is>
      </c>
      <c r="F53" s="10" t="inlineStr">
        <is>
          <t>Electronics</t>
        </is>
      </c>
      <c r="G53" s="11" t="n">
        <v>1</v>
      </c>
      <c r="H53" s="12" t="n">
        <v>450</v>
      </c>
      <c r="I53" s="13" t="n">
        <v>0</v>
      </c>
      <c r="J53" s="12" t="n">
        <v>450</v>
      </c>
      <c r="K53" s="9" t="inlineStr">
        <is>
          <t>2026-08-08</t>
        </is>
      </c>
      <c r="L53" s="9" t="inlineStr">
        <is>
          <t>Pending</t>
        </is>
      </c>
    </row>
    <row r="54">
      <c r="A54" s="9" t="inlineStr">
        <is>
          <t>TXN-2053</t>
        </is>
      </c>
      <c r="B54" s="9" t="inlineStr">
        <is>
          <t>CUST-254</t>
        </is>
      </c>
      <c r="C54" s="10" t="inlineStr">
        <is>
          <t>Pooja Iyer</t>
        </is>
      </c>
      <c r="D54" s="9" t="inlineStr">
        <is>
          <t>Central</t>
        </is>
      </c>
      <c r="E54" s="10" t="inlineStr">
        <is>
          <t>Smart Tablet</t>
        </is>
      </c>
      <c r="F54" s="10" t="inlineStr">
        <is>
          <t>Electronics</t>
        </is>
      </c>
      <c r="G54" s="11" t="n">
        <v>3</v>
      </c>
      <c r="H54" s="12" t="n">
        <v>450</v>
      </c>
      <c r="I54" s="13" t="n">
        <v>0</v>
      </c>
      <c r="J54" s="12" t="n">
        <v>1350</v>
      </c>
      <c r="K54" s="9" t="inlineStr">
        <is>
          <t>2026-06-16</t>
        </is>
      </c>
      <c r="L54" s="9" t="inlineStr">
        <is>
          <t>Shipped</t>
        </is>
      </c>
    </row>
    <row r="55">
      <c r="A55" s="9" t="inlineStr">
        <is>
          <t>TXN-2054</t>
        </is>
      </c>
      <c r="B55" s="9" t="inlineStr">
        <is>
          <t>CUST-255</t>
        </is>
      </c>
      <c r="C55" s="10" t="inlineStr">
        <is>
          <t>Ayaan Gupta</t>
        </is>
      </c>
      <c r="D55" s="9" t="inlineStr">
        <is>
          <t>East</t>
        </is>
      </c>
      <c r="E55" s="10" t="inlineStr">
        <is>
          <t>Smart Tablet</t>
        </is>
      </c>
      <c r="F55" s="10" t="inlineStr">
        <is>
          <t>Electronics</t>
        </is>
      </c>
      <c r="G55" s="11" t="n">
        <v>1</v>
      </c>
      <c r="H55" s="12" t="n">
        <v>450</v>
      </c>
      <c r="I55" s="13" t="n">
        <v>0.1</v>
      </c>
      <c r="J55" s="12" t="n">
        <v>405</v>
      </c>
      <c r="K55" s="9" t="inlineStr">
        <is>
          <t>2025-04-04</t>
        </is>
      </c>
      <c r="L55" s="9" t="inlineStr">
        <is>
          <t>Completed</t>
        </is>
      </c>
    </row>
    <row r="56">
      <c r="A56" s="9" t="inlineStr">
        <is>
          <t>TXN-2055</t>
        </is>
      </c>
      <c r="B56" s="9" t="inlineStr">
        <is>
          <t>CUST-256</t>
        </is>
      </c>
      <c r="C56" s="10" t="inlineStr">
        <is>
          <t>Arjun Sharma</t>
        </is>
      </c>
      <c r="D56" s="9" t="inlineStr">
        <is>
          <t>East</t>
        </is>
      </c>
      <c r="E56" s="10" t="inlineStr">
        <is>
          <t>Smart Tablet</t>
        </is>
      </c>
      <c r="F56" s="10" t="inlineStr">
        <is>
          <t>Electronics</t>
        </is>
      </c>
      <c r="G56" s="11" t="n">
        <v>3</v>
      </c>
      <c r="H56" s="12" t="n">
        <v>450</v>
      </c>
      <c r="I56" s="13" t="n">
        <v>0.1</v>
      </c>
      <c r="J56" s="12" t="n">
        <v>1215</v>
      </c>
      <c r="K56" s="9" t="inlineStr">
        <is>
          <t>2026-07-09</t>
        </is>
      </c>
      <c r="L56" s="9" t="inlineStr">
        <is>
          <t>Cancelled</t>
        </is>
      </c>
    </row>
    <row r="57">
      <c r="A57" s="9" t="inlineStr">
        <is>
          <t>TXN-2056</t>
        </is>
      </c>
      <c r="B57" s="9" t="inlineStr">
        <is>
          <t>CUST-257</t>
        </is>
      </c>
      <c r="C57" s="10" t="inlineStr">
        <is>
          <t>Vihaan Mehta</t>
        </is>
      </c>
      <c r="D57" s="9" t="inlineStr">
        <is>
          <t>Central</t>
        </is>
      </c>
      <c r="E57" s="10" t="inlineStr">
        <is>
          <t>Wireless Mouse</t>
        </is>
      </c>
      <c r="F57" s="10" t="inlineStr">
        <is>
          <t>Accessories</t>
        </is>
      </c>
      <c r="G57" s="11" t="n">
        <v>2</v>
      </c>
      <c r="H57" s="12" t="n">
        <v>25</v>
      </c>
      <c r="I57" s="13" t="n">
        <v>0</v>
      </c>
      <c r="J57" s="12" t="n">
        <v>50</v>
      </c>
      <c r="K57" s="9" t="inlineStr">
        <is>
          <t>2025-03-05</t>
        </is>
      </c>
      <c r="L57" s="9" t="inlineStr">
        <is>
          <t>Completed</t>
        </is>
      </c>
    </row>
    <row r="58">
      <c r="A58" s="9" t="inlineStr">
        <is>
          <t>TXN-2057</t>
        </is>
      </c>
      <c r="B58" s="9" t="inlineStr">
        <is>
          <t>CUST-258</t>
        </is>
      </c>
      <c r="C58" s="10" t="inlineStr">
        <is>
          <t>Reyansh Singh</t>
        </is>
      </c>
      <c r="D58" s="9" t="inlineStr">
        <is>
          <t>Central</t>
        </is>
      </c>
      <c r="E58" s="10" t="inlineStr">
        <is>
          <t>Wireless Mouse</t>
        </is>
      </c>
      <c r="F58" s="10" t="inlineStr">
        <is>
          <t>Accessories</t>
        </is>
      </c>
      <c r="G58" s="11" t="n">
        <v>1</v>
      </c>
      <c r="H58" s="12" t="n">
        <v>25</v>
      </c>
      <c r="I58" s="13" t="n">
        <v>0</v>
      </c>
      <c r="J58" s="12" t="n">
        <v>25</v>
      </c>
      <c r="K58" s="9" t="inlineStr">
        <is>
          <t>2025-06-30</t>
        </is>
      </c>
      <c r="L58" s="9" t="inlineStr">
        <is>
          <t>Completed</t>
        </is>
      </c>
    </row>
    <row r="59">
      <c r="A59" s="9" t="inlineStr">
        <is>
          <t>TXN-2058</t>
        </is>
      </c>
      <c r="B59" s="9" t="inlineStr">
        <is>
          <t>CUST-259</t>
        </is>
      </c>
      <c r="C59" s="10" t="inlineStr">
        <is>
          <t>Reyansh Reddy</t>
        </is>
      </c>
      <c r="D59" s="9" t="inlineStr">
        <is>
          <t>South</t>
        </is>
      </c>
      <c r="E59" s="10" t="inlineStr">
        <is>
          <t>Ergonomic Keyboard</t>
        </is>
      </c>
      <c r="F59" s="10" t="inlineStr">
        <is>
          <t>Accessories</t>
        </is>
      </c>
      <c r="G59" s="11" t="n">
        <v>2</v>
      </c>
      <c r="H59" s="12" t="n">
        <v>75</v>
      </c>
      <c r="I59" s="13" t="n">
        <v>0</v>
      </c>
      <c r="J59" s="12" t="n">
        <v>150</v>
      </c>
      <c r="K59" s="9" t="inlineStr">
        <is>
          <t>2025-01-09</t>
        </is>
      </c>
      <c r="L59" s="9" t="inlineStr">
        <is>
          <t>Completed</t>
        </is>
      </c>
    </row>
    <row r="60">
      <c r="A60" s="9" t="inlineStr">
        <is>
          <t>TXN-2059</t>
        </is>
      </c>
      <c r="B60" s="9" t="inlineStr">
        <is>
          <t>CUST-260</t>
        </is>
      </c>
      <c r="C60" s="10" t="inlineStr">
        <is>
          <t>Sneha Sharma</t>
        </is>
      </c>
      <c r="D60" s="9" t="inlineStr">
        <is>
          <t>Central</t>
        </is>
      </c>
      <c r="E60" s="10" t="inlineStr">
        <is>
          <t>External SSD 1TB</t>
        </is>
      </c>
      <c r="F60" s="10" t="inlineStr">
        <is>
          <t>Storage</t>
        </is>
      </c>
      <c r="G60" s="11" t="n">
        <v>1</v>
      </c>
      <c r="H60" s="12" t="n">
        <v>130</v>
      </c>
      <c r="I60" s="13" t="n">
        <v>0</v>
      </c>
      <c r="J60" s="12" t="n">
        <v>130</v>
      </c>
      <c r="K60" s="9" t="inlineStr">
        <is>
          <t>2025-07-27</t>
        </is>
      </c>
      <c r="L60" s="9" t="inlineStr">
        <is>
          <t>Completed</t>
        </is>
      </c>
    </row>
    <row r="61">
      <c r="A61" s="9" t="inlineStr">
        <is>
          <t>TXN-2060</t>
        </is>
      </c>
      <c r="B61" s="9" t="inlineStr">
        <is>
          <t>CUST-201</t>
        </is>
      </c>
      <c r="C61" s="10" t="inlineStr">
        <is>
          <t>Sai Patel</t>
        </is>
      </c>
      <c r="D61" s="9" t="inlineStr">
        <is>
          <t>West</t>
        </is>
      </c>
      <c r="E61" s="10" t="inlineStr">
        <is>
          <t>Smart Tablet</t>
        </is>
      </c>
      <c r="F61" s="10" t="inlineStr">
        <is>
          <t>Electronics</t>
        </is>
      </c>
      <c r="G61" s="11" t="n">
        <v>3</v>
      </c>
      <c r="H61" s="12" t="n">
        <v>450</v>
      </c>
      <c r="I61" s="13" t="n">
        <v>0</v>
      </c>
      <c r="J61" s="12" t="n">
        <v>1350</v>
      </c>
      <c r="K61" s="9" t="inlineStr">
        <is>
          <t>2025-11-28</t>
        </is>
      </c>
      <c r="L61" s="9" t="inlineStr">
        <is>
          <t>Completed</t>
        </is>
      </c>
    </row>
    <row r="62">
      <c r="A62" s="9" t="inlineStr">
        <is>
          <t>TXN-2061</t>
        </is>
      </c>
      <c r="B62" s="9" t="inlineStr">
        <is>
          <t>CUST-202</t>
        </is>
      </c>
      <c r="C62" s="10" t="inlineStr">
        <is>
          <t>Pooja Mehta</t>
        </is>
      </c>
      <c r="D62" s="9" t="inlineStr">
        <is>
          <t>North</t>
        </is>
      </c>
      <c r="E62" s="10" t="inlineStr">
        <is>
          <t>External SSD 1TB</t>
        </is>
      </c>
      <c r="F62" s="10" t="inlineStr">
        <is>
          <t>Storage</t>
        </is>
      </c>
      <c r="G62" s="11" t="n">
        <v>2</v>
      </c>
      <c r="H62" s="12" t="n">
        <v>130</v>
      </c>
      <c r="I62" s="13" t="n">
        <v>0</v>
      </c>
      <c r="J62" s="12" t="n">
        <v>260</v>
      </c>
      <c r="K62" s="9" t="inlineStr">
        <is>
          <t>2026-02-21</t>
        </is>
      </c>
      <c r="L62" s="9" t="inlineStr">
        <is>
          <t>Completed</t>
        </is>
      </c>
    </row>
    <row r="63">
      <c r="A63" s="9" t="inlineStr">
        <is>
          <t>TXN-2062</t>
        </is>
      </c>
      <c r="B63" s="9" t="inlineStr">
        <is>
          <t>CUST-203</t>
        </is>
      </c>
      <c r="C63" s="10" t="inlineStr">
        <is>
          <t>Amit Shah</t>
        </is>
      </c>
      <c r="D63" s="9" t="inlineStr">
        <is>
          <t>Central</t>
        </is>
      </c>
      <c r="E63" s="10" t="inlineStr">
        <is>
          <t>External SSD 1TB</t>
        </is>
      </c>
      <c r="F63" s="10" t="inlineStr">
        <is>
          <t>Storage</t>
        </is>
      </c>
      <c r="G63" s="11" t="n">
        <v>4</v>
      </c>
      <c r="H63" s="12" t="n">
        <v>130</v>
      </c>
      <c r="I63" s="13" t="n">
        <v>0</v>
      </c>
      <c r="J63" s="12" t="n">
        <v>520</v>
      </c>
      <c r="K63" s="9" t="inlineStr">
        <is>
          <t>2026-02-20</t>
        </is>
      </c>
      <c r="L63" s="9" t="inlineStr">
        <is>
          <t>Completed</t>
        </is>
      </c>
    </row>
    <row r="64">
      <c r="A64" s="9" t="inlineStr">
        <is>
          <t>TXN-2063</t>
        </is>
      </c>
      <c r="B64" s="9" t="inlineStr">
        <is>
          <t>CUST-204</t>
        </is>
      </c>
      <c r="C64" s="10" t="inlineStr">
        <is>
          <t>Aadhya Sharma</t>
        </is>
      </c>
      <c r="D64" s="9" t="inlineStr">
        <is>
          <t>South</t>
        </is>
      </c>
      <c r="E64" s="10" t="inlineStr">
        <is>
          <t>Noise-Canceling Headphones</t>
        </is>
      </c>
      <c r="F64" s="10" t="inlineStr">
        <is>
          <t>Audio</t>
        </is>
      </c>
      <c r="G64" s="11" t="n">
        <v>1</v>
      </c>
      <c r="H64" s="12" t="n">
        <v>180</v>
      </c>
      <c r="I64" s="13" t="n">
        <v>0.1</v>
      </c>
      <c r="J64" s="12" t="n">
        <v>162</v>
      </c>
      <c r="K64" s="9" t="inlineStr">
        <is>
          <t>2025-06-10</t>
        </is>
      </c>
      <c r="L64" s="9" t="inlineStr">
        <is>
          <t>Completed</t>
        </is>
      </c>
    </row>
    <row r="65">
      <c r="A65" s="9" t="inlineStr">
        <is>
          <t>TXN-2064</t>
        </is>
      </c>
      <c r="B65" s="9" t="inlineStr">
        <is>
          <t>CUST-205</t>
        </is>
      </c>
      <c r="C65" s="10" t="inlineStr">
        <is>
          <t>Reyansh Bose</t>
        </is>
      </c>
      <c r="D65" s="9" t="inlineStr">
        <is>
          <t>East</t>
        </is>
      </c>
      <c r="E65" s="10" t="inlineStr">
        <is>
          <t>External SSD 1TB</t>
        </is>
      </c>
      <c r="F65" s="10" t="inlineStr">
        <is>
          <t>Storage</t>
        </is>
      </c>
      <c r="G65" s="11" t="n">
        <v>2</v>
      </c>
      <c r="H65" s="12" t="n">
        <v>130</v>
      </c>
      <c r="I65" s="13" t="n">
        <v>0.1</v>
      </c>
      <c r="J65" s="12" t="n">
        <v>234</v>
      </c>
      <c r="K65" s="9" t="inlineStr">
        <is>
          <t>2026-01-02</t>
        </is>
      </c>
      <c r="L65" s="9" t="inlineStr">
        <is>
          <t>Completed</t>
        </is>
      </c>
    </row>
    <row r="66">
      <c r="A66" s="9" t="inlineStr">
        <is>
          <t>TXN-2065</t>
        </is>
      </c>
      <c r="B66" s="9" t="inlineStr">
        <is>
          <t>CUST-206</t>
        </is>
      </c>
      <c r="C66" s="10" t="inlineStr">
        <is>
          <t>Sai Shah</t>
        </is>
      </c>
      <c r="D66" s="9" t="inlineStr">
        <is>
          <t>South</t>
        </is>
      </c>
      <c r="E66" s="10" t="inlineStr">
        <is>
          <t>USB-C Hub</t>
        </is>
      </c>
      <c r="F66" s="10" t="inlineStr">
        <is>
          <t>Accessories</t>
        </is>
      </c>
      <c r="G66" s="11" t="n">
        <v>3</v>
      </c>
      <c r="H66" s="12" t="n">
        <v>45</v>
      </c>
      <c r="I66" s="13" t="n">
        <v>0.1</v>
      </c>
      <c r="J66" s="12" t="n">
        <v>121.5</v>
      </c>
      <c r="K66" s="9" t="inlineStr">
        <is>
          <t>2026-06-20</t>
        </is>
      </c>
      <c r="L66" s="9" t="inlineStr">
        <is>
          <t>Completed</t>
        </is>
      </c>
    </row>
    <row r="67">
      <c r="A67" s="9" t="inlineStr">
        <is>
          <t>TXN-2066</t>
        </is>
      </c>
      <c r="B67" s="9" t="inlineStr">
        <is>
          <t>CUST-207</t>
        </is>
      </c>
      <c r="C67" s="10" t="inlineStr">
        <is>
          <t>Diya Nair</t>
        </is>
      </c>
      <c r="D67" s="9" t="inlineStr">
        <is>
          <t>South</t>
        </is>
      </c>
      <c r="E67" s="10" t="inlineStr">
        <is>
          <t>External SSD 1TB</t>
        </is>
      </c>
      <c r="F67" s="10" t="inlineStr">
        <is>
          <t>Storage</t>
        </is>
      </c>
      <c r="G67" s="11" t="n">
        <v>1</v>
      </c>
      <c r="H67" s="12" t="n">
        <v>130</v>
      </c>
      <c r="I67" s="13" t="n">
        <v>0.1</v>
      </c>
      <c r="J67" s="12" t="n">
        <v>117</v>
      </c>
      <c r="K67" s="9" t="inlineStr">
        <is>
          <t>2026-05-22</t>
        </is>
      </c>
      <c r="L67" s="9" t="inlineStr">
        <is>
          <t>Completed</t>
        </is>
      </c>
    </row>
    <row r="68">
      <c r="A68" s="9" t="inlineStr">
        <is>
          <t>TXN-2067</t>
        </is>
      </c>
      <c r="B68" s="9" t="inlineStr">
        <is>
          <t>CUST-208</t>
        </is>
      </c>
      <c r="C68" s="10" t="inlineStr">
        <is>
          <t>Vihaan Singh</t>
        </is>
      </c>
      <c r="D68" s="9" t="inlineStr">
        <is>
          <t>South</t>
        </is>
      </c>
      <c r="E68" s="10" t="inlineStr">
        <is>
          <t>Ergonomic Keyboard</t>
        </is>
      </c>
      <c r="F68" s="10" t="inlineStr">
        <is>
          <t>Accessories</t>
        </is>
      </c>
      <c r="G68" s="11" t="n">
        <v>5</v>
      </c>
      <c r="H68" s="12" t="n">
        <v>75</v>
      </c>
      <c r="I68" s="13" t="n">
        <v>0</v>
      </c>
      <c r="J68" s="12" t="n">
        <v>375</v>
      </c>
      <c r="K68" s="9" t="inlineStr">
        <is>
          <t>2026-01-10</t>
        </is>
      </c>
      <c r="L68" s="9" t="inlineStr">
        <is>
          <t>Completed</t>
        </is>
      </c>
    </row>
    <row r="69">
      <c r="A69" s="9" t="inlineStr">
        <is>
          <t>TXN-2068</t>
        </is>
      </c>
      <c r="B69" s="9" t="inlineStr">
        <is>
          <t>CUST-209</t>
        </is>
      </c>
      <c r="C69" s="10" t="inlineStr">
        <is>
          <t>Ayaan Deshmukh</t>
        </is>
      </c>
      <c r="D69" s="9" t="inlineStr">
        <is>
          <t>North</t>
        </is>
      </c>
      <c r="E69" s="10" t="inlineStr">
        <is>
          <t>USB-C Hub</t>
        </is>
      </c>
      <c r="F69" s="10" t="inlineStr">
        <is>
          <t>Accessories</t>
        </is>
      </c>
      <c r="G69" s="11" t="n">
        <v>2</v>
      </c>
      <c r="H69" s="12" t="n">
        <v>45</v>
      </c>
      <c r="I69" s="13" t="n">
        <v>0</v>
      </c>
      <c r="J69" s="12" t="n">
        <v>90</v>
      </c>
      <c r="K69" s="9" t="inlineStr">
        <is>
          <t>2026-06-16</t>
        </is>
      </c>
      <c r="L69" s="9" t="inlineStr">
        <is>
          <t>Pending</t>
        </is>
      </c>
    </row>
    <row r="70">
      <c r="A70" s="9" t="inlineStr">
        <is>
          <t>TXN-2069</t>
        </is>
      </c>
      <c r="B70" s="9" t="inlineStr">
        <is>
          <t>CUST-210</t>
        </is>
      </c>
      <c r="C70" s="10" t="inlineStr">
        <is>
          <t>Karan Singh</t>
        </is>
      </c>
      <c r="D70" s="9" t="inlineStr">
        <is>
          <t>East</t>
        </is>
      </c>
      <c r="E70" s="10" t="inlineStr">
        <is>
          <t>Smart Tablet</t>
        </is>
      </c>
      <c r="F70" s="10" t="inlineStr">
        <is>
          <t>Electronics</t>
        </is>
      </c>
      <c r="G70" s="11" t="n">
        <v>4</v>
      </c>
      <c r="H70" s="12" t="n">
        <v>450</v>
      </c>
      <c r="I70" s="13" t="n">
        <v>0</v>
      </c>
      <c r="J70" s="12" t="n">
        <v>1800</v>
      </c>
      <c r="K70" s="9" t="inlineStr">
        <is>
          <t>2025-03-06</t>
        </is>
      </c>
      <c r="L70" s="9" t="inlineStr">
        <is>
          <t>Completed</t>
        </is>
      </c>
    </row>
    <row r="71">
      <c r="A71" s="9" t="inlineStr">
        <is>
          <t>TXN-2070</t>
        </is>
      </c>
      <c r="B71" s="9" t="inlineStr">
        <is>
          <t>CUST-211</t>
        </is>
      </c>
      <c r="C71" s="10" t="inlineStr">
        <is>
          <t>Rohan Singh</t>
        </is>
      </c>
      <c r="D71" s="9" t="inlineStr">
        <is>
          <t>Central</t>
        </is>
      </c>
      <c r="E71" s="10" t="inlineStr">
        <is>
          <t>External SSD 1TB</t>
        </is>
      </c>
      <c r="F71" s="10" t="inlineStr">
        <is>
          <t>Storage</t>
        </is>
      </c>
      <c r="G71" s="11" t="n">
        <v>5</v>
      </c>
      <c r="H71" s="12" t="n">
        <v>130</v>
      </c>
      <c r="I71" s="13" t="n">
        <v>0.1</v>
      </c>
      <c r="J71" s="12" t="n">
        <v>585</v>
      </c>
      <c r="K71" s="9" t="inlineStr">
        <is>
          <t>2025-05-13</t>
        </is>
      </c>
      <c r="L71" s="9" t="inlineStr">
        <is>
          <t>Completed</t>
        </is>
      </c>
    </row>
    <row r="72">
      <c r="A72" s="9" t="inlineStr">
        <is>
          <t>TXN-2071</t>
        </is>
      </c>
      <c r="B72" s="9" t="inlineStr">
        <is>
          <t>CUST-212</t>
        </is>
      </c>
      <c r="C72" s="10" t="inlineStr">
        <is>
          <t>Aadhya Mehta</t>
        </is>
      </c>
      <c r="D72" s="9" t="inlineStr">
        <is>
          <t>Central</t>
        </is>
      </c>
      <c r="E72" s="10" t="inlineStr">
        <is>
          <t>Ultra HD Monitor</t>
        </is>
      </c>
      <c r="F72" s="10" t="inlineStr">
        <is>
          <t>Electronics</t>
        </is>
      </c>
      <c r="G72" s="11" t="n">
        <v>1</v>
      </c>
      <c r="H72" s="12" t="n">
        <v>350</v>
      </c>
      <c r="I72" s="13" t="n">
        <v>0.05</v>
      </c>
      <c r="J72" s="12" t="n">
        <v>332.5</v>
      </c>
      <c r="K72" s="9" t="inlineStr">
        <is>
          <t>2025-08-19</t>
        </is>
      </c>
      <c r="L72" s="9" t="inlineStr">
        <is>
          <t>Completed</t>
        </is>
      </c>
    </row>
    <row r="73">
      <c r="A73" s="9" t="inlineStr">
        <is>
          <t>TXN-2072</t>
        </is>
      </c>
      <c r="B73" s="9" t="inlineStr">
        <is>
          <t>CUST-213</t>
        </is>
      </c>
      <c r="C73" s="10" t="inlineStr">
        <is>
          <t>Rahul Patel</t>
        </is>
      </c>
      <c r="D73" s="9" t="inlineStr">
        <is>
          <t>East</t>
        </is>
      </c>
      <c r="E73" s="10" t="inlineStr">
        <is>
          <t>Ergonomic Keyboard</t>
        </is>
      </c>
      <c r="F73" s="10" t="inlineStr">
        <is>
          <t>Accessories</t>
        </is>
      </c>
      <c r="G73" s="11" t="n">
        <v>1</v>
      </c>
      <c r="H73" s="12" t="n">
        <v>75</v>
      </c>
      <c r="I73" s="13" t="n">
        <v>0</v>
      </c>
      <c r="J73" s="12" t="n">
        <v>75</v>
      </c>
      <c r="K73" s="9" t="inlineStr">
        <is>
          <t>2025-10-12</t>
        </is>
      </c>
      <c r="L73" s="9" t="inlineStr">
        <is>
          <t>Pending</t>
        </is>
      </c>
    </row>
    <row r="74">
      <c r="A74" s="9" t="inlineStr">
        <is>
          <t>TXN-2073</t>
        </is>
      </c>
      <c r="B74" s="9" t="inlineStr">
        <is>
          <t>CUST-214</t>
        </is>
      </c>
      <c r="C74" s="10" t="inlineStr">
        <is>
          <t>Sai Sharma</t>
        </is>
      </c>
      <c r="D74" s="9" t="inlineStr">
        <is>
          <t>West</t>
        </is>
      </c>
      <c r="E74" s="10" t="inlineStr">
        <is>
          <t>Noise-Canceling Headphones</t>
        </is>
      </c>
      <c r="F74" s="10" t="inlineStr">
        <is>
          <t>Audio</t>
        </is>
      </c>
      <c r="G74" s="11" t="n">
        <v>1</v>
      </c>
      <c r="H74" s="12" t="n">
        <v>180</v>
      </c>
      <c r="I74" s="13" t="n">
        <v>0.05</v>
      </c>
      <c r="J74" s="12" t="n">
        <v>171</v>
      </c>
      <c r="K74" s="9" t="inlineStr">
        <is>
          <t>2026-03-07</t>
        </is>
      </c>
      <c r="L74" s="9" t="inlineStr">
        <is>
          <t>Cancelled</t>
        </is>
      </c>
    </row>
    <row r="75">
      <c r="A75" s="9" t="inlineStr">
        <is>
          <t>TXN-2074</t>
        </is>
      </c>
      <c r="B75" s="9" t="inlineStr">
        <is>
          <t>CUST-215</t>
        </is>
      </c>
      <c r="C75" s="10" t="inlineStr">
        <is>
          <t>Neha Malhotra</t>
        </is>
      </c>
      <c r="D75" s="9" t="inlineStr">
        <is>
          <t>North</t>
        </is>
      </c>
      <c r="E75" s="10" t="inlineStr">
        <is>
          <t>USB-C Hub</t>
        </is>
      </c>
      <c r="F75" s="10" t="inlineStr">
        <is>
          <t>Accessories</t>
        </is>
      </c>
      <c r="G75" s="11" t="n">
        <v>1</v>
      </c>
      <c r="H75" s="12" t="n">
        <v>45</v>
      </c>
      <c r="I75" s="13" t="n">
        <v>0.05</v>
      </c>
      <c r="J75" s="12" t="n">
        <v>42.75</v>
      </c>
      <c r="K75" s="9" t="inlineStr">
        <is>
          <t>2025-08-26</t>
        </is>
      </c>
      <c r="L75" s="9" t="inlineStr">
        <is>
          <t>Completed</t>
        </is>
      </c>
    </row>
    <row r="76">
      <c r="A76" s="9" t="inlineStr">
        <is>
          <t>TXN-2075</t>
        </is>
      </c>
      <c r="B76" s="9" t="inlineStr">
        <is>
          <t>CUST-216</t>
        </is>
      </c>
      <c r="C76" s="10" t="inlineStr">
        <is>
          <t>Reyansh Kumar</t>
        </is>
      </c>
      <c r="D76" s="9" t="inlineStr">
        <is>
          <t>North</t>
        </is>
      </c>
      <c r="E76" s="10" t="inlineStr">
        <is>
          <t>Smart Tablet</t>
        </is>
      </c>
      <c r="F76" s="10" t="inlineStr">
        <is>
          <t>Electronics</t>
        </is>
      </c>
      <c r="G76" s="11" t="n">
        <v>2</v>
      </c>
      <c r="H76" s="12" t="n">
        <v>450</v>
      </c>
      <c r="I76" s="13" t="n">
        <v>0</v>
      </c>
      <c r="J76" s="12" t="n">
        <v>900</v>
      </c>
      <c r="K76" s="9" t="inlineStr">
        <is>
          <t>2025-12-25</t>
        </is>
      </c>
      <c r="L76" s="9" t="inlineStr">
        <is>
          <t>Pending</t>
        </is>
      </c>
    </row>
    <row r="77">
      <c r="A77" s="9" t="inlineStr">
        <is>
          <t>TXN-2076</t>
        </is>
      </c>
      <c r="B77" s="9" t="inlineStr">
        <is>
          <t>CUST-217</t>
        </is>
      </c>
      <c r="C77" s="10" t="inlineStr">
        <is>
          <t>Sneha Mehta</t>
        </is>
      </c>
      <c r="D77" s="9" t="inlineStr">
        <is>
          <t>West</t>
        </is>
      </c>
      <c r="E77" s="10" t="inlineStr">
        <is>
          <t>Ultra HD Monitor</t>
        </is>
      </c>
      <c r="F77" s="10" t="inlineStr">
        <is>
          <t>Electronics</t>
        </is>
      </c>
      <c r="G77" s="11" t="n">
        <v>1</v>
      </c>
      <c r="H77" s="12" t="n">
        <v>350</v>
      </c>
      <c r="I77" s="13" t="n">
        <v>0</v>
      </c>
      <c r="J77" s="12" t="n">
        <v>350</v>
      </c>
      <c r="K77" s="9" t="inlineStr">
        <is>
          <t>2025-10-09</t>
        </is>
      </c>
      <c r="L77" s="9" t="inlineStr">
        <is>
          <t>Completed</t>
        </is>
      </c>
    </row>
    <row r="78">
      <c r="A78" s="9" t="inlineStr">
        <is>
          <t>TXN-2077</t>
        </is>
      </c>
      <c r="B78" s="9" t="inlineStr">
        <is>
          <t>CUST-218</t>
        </is>
      </c>
      <c r="C78" s="10" t="inlineStr">
        <is>
          <t>Vivaan Nair</t>
        </is>
      </c>
      <c r="D78" s="9" t="inlineStr">
        <is>
          <t>South</t>
        </is>
      </c>
      <c r="E78" s="10" t="inlineStr">
        <is>
          <t>Ergonomic Keyboard</t>
        </is>
      </c>
      <c r="F78" s="10" t="inlineStr">
        <is>
          <t>Accessories</t>
        </is>
      </c>
      <c r="G78" s="11" t="n">
        <v>1</v>
      </c>
      <c r="H78" s="12" t="n">
        <v>75</v>
      </c>
      <c r="I78" s="13" t="n">
        <v>0</v>
      </c>
      <c r="J78" s="12" t="n">
        <v>75</v>
      </c>
      <c r="K78" s="9" t="inlineStr">
        <is>
          <t>2026-05-09</t>
        </is>
      </c>
      <c r="L78" s="9" t="inlineStr">
        <is>
          <t>Completed</t>
        </is>
      </c>
    </row>
    <row r="79">
      <c r="A79" s="9" t="inlineStr">
        <is>
          <t>TXN-2078</t>
        </is>
      </c>
      <c r="B79" s="9" t="inlineStr">
        <is>
          <t>CUST-219</t>
        </is>
      </c>
      <c r="C79" s="10" t="inlineStr">
        <is>
          <t>Reyansh Nair</t>
        </is>
      </c>
      <c r="D79" s="9" t="inlineStr">
        <is>
          <t>West</t>
        </is>
      </c>
      <c r="E79" s="10" t="inlineStr">
        <is>
          <t>Ergonomic Keyboard</t>
        </is>
      </c>
      <c r="F79" s="10" t="inlineStr">
        <is>
          <t>Accessories</t>
        </is>
      </c>
      <c r="G79" s="11" t="n">
        <v>1</v>
      </c>
      <c r="H79" s="12" t="n">
        <v>75</v>
      </c>
      <c r="I79" s="13" t="n">
        <v>0.1</v>
      </c>
      <c r="J79" s="12" t="n">
        <v>67.5</v>
      </c>
      <c r="K79" s="9" t="inlineStr">
        <is>
          <t>2026-01-13</t>
        </is>
      </c>
      <c r="L79" s="9" t="inlineStr">
        <is>
          <t>Completed</t>
        </is>
      </c>
    </row>
    <row r="80">
      <c r="A80" s="9" t="inlineStr">
        <is>
          <t>TXN-2079</t>
        </is>
      </c>
      <c r="B80" s="9" t="inlineStr">
        <is>
          <t>CUST-220</t>
        </is>
      </c>
      <c r="C80" s="10" t="inlineStr">
        <is>
          <t>Vihaan Singh</t>
        </is>
      </c>
      <c r="D80" s="9" t="inlineStr">
        <is>
          <t>West</t>
        </is>
      </c>
      <c r="E80" s="10" t="inlineStr">
        <is>
          <t>Smart Tablet</t>
        </is>
      </c>
      <c r="F80" s="10" t="inlineStr">
        <is>
          <t>Electronics</t>
        </is>
      </c>
      <c r="G80" s="11" t="n">
        <v>3</v>
      </c>
      <c r="H80" s="12" t="n">
        <v>450</v>
      </c>
      <c r="I80" s="13" t="n">
        <v>0.1</v>
      </c>
      <c r="J80" s="12" t="n">
        <v>1215</v>
      </c>
      <c r="K80" s="9" t="inlineStr">
        <is>
          <t>2025-11-20</t>
        </is>
      </c>
      <c r="L80" s="9" t="inlineStr">
        <is>
          <t>Shipped</t>
        </is>
      </c>
    </row>
    <row r="81">
      <c r="A81" s="9" t="inlineStr">
        <is>
          <t>TXN-2080</t>
        </is>
      </c>
      <c r="B81" s="9" t="inlineStr">
        <is>
          <t>CUST-221</t>
        </is>
      </c>
      <c r="C81" s="10" t="inlineStr">
        <is>
          <t>Rohan Bose</t>
        </is>
      </c>
      <c r="D81" s="9" t="inlineStr">
        <is>
          <t>North</t>
        </is>
      </c>
      <c r="E81" s="10" t="inlineStr">
        <is>
          <t>Ergonomic Keyboard</t>
        </is>
      </c>
      <c r="F81" s="10" t="inlineStr">
        <is>
          <t>Accessories</t>
        </is>
      </c>
      <c r="G81" s="11" t="n">
        <v>3</v>
      </c>
      <c r="H81" s="12" t="n">
        <v>75</v>
      </c>
      <c r="I81" s="13" t="n">
        <v>0.05</v>
      </c>
      <c r="J81" s="12" t="n">
        <v>213.75</v>
      </c>
      <c r="K81" s="9" t="inlineStr">
        <is>
          <t>2025-04-22</t>
        </is>
      </c>
      <c r="L81" s="9" t="inlineStr">
        <is>
          <t>Completed</t>
        </is>
      </c>
    </row>
    <row r="82">
      <c r="A82" s="9" t="inlineStr">
        <is>
          <t>TXN-2081</t>
        </is>
      </c>
      <c r="B82" s="9" t="inlineStr">
        <is>
          <t>CUST-222</t>
        </is>
      </c>
      <c r="C82" s="10" t="inlineStr">
        <is>
          <t>Sanya Nair</t>
        </is>
      </c>
      <c r="D82" s="9" t="inlineStr">
        <is>
          <t>East</t>
        </is>
      </c>
      <c r="E82" s="10" t="inlineStr">
        <is>
          <t>Laptop Pro</t>
        </is>
      </c>
      <c r="F82" s="10" t="inlineStr">
        <is>
          <t>Electronics</t>
        </is>
      </c>
      <c r="G82" s="11" t="n">
        <v>5</v>
      </c>
      <c r="H82" s="12" t="n">
        <v>1200</v>
      </c>
      <c r="I82" s="13" t="n">
        <v>0</v>
      </c>
      <c r="J82" s="12" t="n">
        <v>6000</v>
      </c>
      <c r="K82" s="9" t="inlineStr">
        <is>
          <t>2026-02-12</t>
        </is>
      </c>
      <c r="L82" s="9" t="inlineStr">
        <is>
          <t>Completed</t>
        </is>
      </c>
    </row>
    <row r="83">
      <c r="A83" s="9" t="inlineStr">
        <is>
          <t>TXN-2082</t>
        </is>
      </c>
      <c r="B83" s="9" t="inlineStr">
        <is>
          <t>CUST-223</t>
        </is>
      </c>
      <c r="C83" s="10" t="inlineStr">
        <is>
          <t>Vivaan Iyer</t>
        </is>
      </c>
      <c r="D83" s="9" t="inlineStr">
        <is>
          <t>West</t>
        </is>
      </c>
      <c r="E83" s="10" t="inlineStr">
        <is>
          <t>Ergonomic Keyboard</t>
        </is>
      </c>
      <c r="F83" s="10" t="inlineStr">
        <is>
          <t>Accessories</t>
        </is>
      </c>
      <c r="G83" s="11" t="n">
        <v>3</v>
      </c>
      <c r="H83" s="12" t="n">
        <v>75</v>
      </c>
      <c r="I83" s="13" t="n">
        <v>0</v>
      </c>
      <c r="J83" s="12" t="n">
        <v>225</v>
      </c>
      <c r="K83" s="9" t="inlineStr">
        <is>
          <t>2025-05-20</t>
        </is>
      </c>
      <c r="L83" s="9" t="inlineStr">
        <is>
          <t>Shipped</t>
        </is>
      </c>
    </row>
    <row r="84">
      <c r="A84" s="9" t="inlineStr">
        <is>
          <t>TXN-2083</t>
        </is>
      </c>
      <c r="B84" s="9" t="inlineStr">
        <is>
          <t>CUST-224</t>
        </is>
      </c>
      <c r="C84" s="10" t="inlineStr">
        <is>
          <t>Ananya Malhotra</t>
        </is>
      </c>
      <c r="D84" s="9" t="inlineStr">
        <is>
          <t>North</t>
        </is>
      </c>
      <c r="E84" s="10" t="inlineStr">
        <is>
          <t>Laptop Pro</t>
        </is>
      </c>
      <c r="F84" s="10" t="inlineStr">
        <is>
          <t>Electronics</t>
        </is>
      </c>
      <c r="G84" s="11" t="n">
        <v>1</v>
      </c>
      <c r="H84" s="12" t="n">
        <v>1200</v>
      </c>
      <c r="I84" s="13" t="n">
        <v>0</v>
      </c>
      <c r="J84" s="12" t="n">
        <v>1200</v>
      </c>
      <c r="K84" s="9" t="inlineStr">
        <is>
          <t>2026-01-29</t>
        </is>
      </c>
      <c r="L84" s="9" t="inlineStr">
        <is>
          <t>Completed</t>
        </is>
      </c>
    </row>
    <row r="85">
      <c r="A85" s="9" t="inlineStr">
        <is>
          <t>TXN-2084</t>
        </is>
      </c>
      <c r="B85" s="9" t="inlineStr">
        <is>
          <t>CUST-225</t>
        </is>
      </c>
      <c r="C85" s="10" t="inlineStr">
        <is>
          <t>Ananya Deshmukh</t>
        </is>
      </c>
      <c r="D85" s="9" t="inlineStr">
        <is>
          <t>North</t>
        </is>
      </c>
      <c r="E85" s="10" t="inlineStr">
        <is>
          <t>Noise-Canceling Headphones</t>
        </is>
      </c>
      <c r="F85" s="10" t="inlineStr">
        <is>
          <t>Audio</t>
        </is>
      </c>
      <c r="G85" s="11" t="n">
        <v>2</v>
      </c>
      <c r="H85" s="12" t="n">
        <v>180</v>
      </c>
      <c r="I85" s="13" t="n">
        <v>0</v>
      </c>
      <c r="J85" s="12" t="n">
        <v>360</v>
      </c>
      <c r="K85" s="9" t="inlineStr">
        <is>
          <t>2025-07-15</t>
        </is>
      </c>
      <c r="L85" s="9" t="inlineStr">
        <is>
          <t>Completed</t>
        </is>
      </c>
    </row>
    <row r="86">
      <c r="A86" s="9" t="inlineStr">
        <is>
          <t>TXN-2085</t>
        </is>
      </c>
      <c r="B86" s="9" t="inlineStr">
        <is>
          <t>CUST-226</t>
        </is>
      </c>
      <c r="C86" s="10" t="inlineStr">
        <is>
          <t>Aarav Deshmukh</t>
        </is>
      </c>
      <c r="D86" s="9" t="inlineStr">
        <is>
          <t>South</t>
        </is>
      </c>
      <c r="E86" s="10" t="inlineStr">
        <is>
          <t>Smart Tablet</t>
        </is>
      </c>
      <c r="F86" s="10" t="inlineStr">
        <is>
          <t>Electronics</t>
        </is>
      </c>
      <c r="G86" s="11" t="n">
        <v>4</v>
      </c>
      <c r="H86" s="12" t="n">
        <v>450</v>
      </c>
      <c r="I86" s="13" t="n">
        <v>0</v>
      </c>
      <c r="J86" s="12" t="n">
        <v>1800</v>
      </c>
      <c r="K86" s="9" t="inlineStr">
        <is>
          <t>2026-07-20</t>
        </is>
      </c>
      <c r="L86" s="9" t="inlineStr">
        <is>
          <t>Completed</t>
        </is>
      </c>
    </row>
    <row r="87">
      <c r="A87" s="9" t="inlineStr">
        <is>
          <t>TXN-2086</t>
        </is>
      </c>
      <c r="B87" s="9" t="inlineStr">
        <is>
          <t>CUST-227</t>
        </is>
      </c>
      <c r="C87" s="10" t="inlineStr">
        <is>
          <t>Aarav Joshi</t>
        </is>
      </c>
      <c r="D87" s="9" t="inlineStr">
        <is>
          <t>North</t>
        </is>
      </c>
      <c r="E87" s="10" t="inlineStr">
        <is>
          <t>Smart Tablet</t>
        </is>
      </c>
      <c r="F87" s="10" t="inlineStr">
        <is>
          <t>Electronics</t>
        </is>
      </c>
      <c r="G87" s="11" t="n">
        <v>2</v>
      </c>
      <c r="H87" s="12" t="n">
        <v>450</v>
      </c>
      <c r="I87" s="13" t="n">
        <v>0.05</v>
      </c>
      <c r="J87" s="12" t="n">
        <v>855</v>
      </c>
      <c r="K87" s="9" t="inlineStr">
        <is>
          <t>2025-04-11</t>
        </is>
      </c>
      <c r="L87" s="9" t="inlineStr">
        <is>
          <t>Completed</t>
        </is>
      </c>
    </row>
    <row r="88">
      <c r="A88" s="9" t="inlineStr">
        <is>
          <t>TXN-2087</t>
        </is>
      </c>
      <c r="B88" s="9" t="inlineStr">
        <is>
          <t>CUST-228</t>
        </is>
      </c>
      <c r="C88" s="10" t="inlineStr">
        <is>
          <t>Rohan Sharma</t>
        </is>
      </c>
      <c r="D88" s="9" t="inlineStr">
        <is>
          <t>South</t>
        </is>
      </c>
      <c r="E88" s="10" t="inlineStr">
        <is>
          <t>Laptop Pro</t>
        </is>
      </c>
      <c r="F88" s="10" t="inlineStr">
        <is>
          <t>Electronics</t>
        </is>
      </c>
      <c r="G88" s="11" t="n">
        <v>3</v>
      </c>
      <c r="H88" s="12" t="n">
        <v>1200</v>
      </c>
      <c r="I88" s="13" t="n">
        <v>0</v>
      </c>
      <c r="J88" s="12" t="n">
        <v>3600</v>
      </c>
      <c r="K88" s="9" t="inlineStr">
        <is>
          <t>2026-06-26</t>
        </is>
      </c>
      <c r="L88" s="9" t="inlineStr">
        <is>
          <t>Completed</t>
        </is>
      </c>
    </row>
    <row r="89">
      <c r="A89" s="9" t="inlineStr">
        <is>
          <t>TXN-2088</t>
        </is>
      </c>
      <c r="B89" s="9" t="inlineStr">
        <is>
          <t>CUST-229</t>
        </is>
      </c>
      <c r="C89" s="10" t="inlineStr">
        <is>
          <t>Vivaan Reddy</t>
        </is>
      </c>
      <c r="D89" s="9" t="inlineStr">
        <is>
          <t>North</t>
        </is>
      </c>
      <c r="E89" s="10" t="inlineStr">
        <is>
          <t>Ergonomic Keyboard</t>
        </is>
      </c>
      <c r="F89" s="10" t="inlineStr">
        <is>
          <t>Accessories</t>
        </is>
      </c>
      <c r="G89" s="11" t="n">
        <v>3</v>
      </c>
      <c r="H89" s="12" t="n">
        <v>75</v>
      </c>
      <c r="I89" s="13" t="n">
        <v>0</v>
      </c>
      <c r="J89" s="12" t="n">
        <v>225</v>
      </c>
      <c r="K89" s="9" t="inlineStr">
        <is>
          <t>2025-02-24</t>
        </is>
      </c>
      <c r="L89" s="9" t="inlineStr">
        <is>
          <t>Shipped</t>
        </is>
      </c>
    </row>
    <row r="90">
      <c r="A90" s="9" t="inlineStr">
        <is>
          <t>TXN-2089</t>
        </is>
      </c>
      <c r="B90" s="9" t="inlineStr">
        <is>
          <t>CUST-230</t>
        </is>
      </c>
      <c r="C90" s="10" t="inlineStr">
        <is>
          <t>Sneha Patel</t>
        </is>
      </c>
      <c r="D90" s="9" t="inlineStr">
        <is>
          <t>West</t>
        </is>
      </c>
      <c r="E90" s="10" t="inlineStr">
        <is>
          <t>Ultra HD Monitor</t>
        </is>
      </c>
      <c r="F90" s="10" t="inlineStr">
        <is>
          <t>Electronics</t>
        </is>
      </c>
      <c r="G90" s="11" t="n">
        <v>3</v>
      </c>
      <c r="H90" s="12" t="n">
        <v>350</v>
      </c>
      <c r="I90" s="13" t="n">
        <v>0</v>
      </c>
      <c r="J90" s="12" t="n">
        <v>1050</v>
      </c>
      <c r="K90" s="9" t="inlineStr">
        <is>
          <t>2026-06-25</t>
        </is>
      </c>
      <c r="L90" s="9" t="inlineStr">
        <is>
          <t>Completed</t>
        </is>
      </c>
    </row>
    <row r="91">
      <c r="A91" s="9" t="inlineStr">
        <is>
          <t>TXN-2090</t>
        </is>
      </c>
      <c r="B91" s="9" t="inlineStr">
        <is>
          <t>CUST-231</t>
        </is>
      </c>
      <c r="C91" s="10" t="inlineStr">
        <is>
          <t>Amit Gupta</t>
        </is>
      </c>
      <c r="D91" s="9" t="inlineStr">
        <is>
          <t>West</t>
        </is>
      </c>
      <c r="E91" s="10" t="inlineStr">
        <is>
          <t>External SSD 1TB</t>
        </is>
      </c>
      <c r="F91" s="10" t="inlineStr">
        <is>
          <t>Storage</t>
        </is>
      </c>
      <c r="G91" s="11" t="n">
        <v>2</v>
      </c>
      <c r="H91" s="12" t="n">
        <v>130</v>
      </c>
      <c r="I91" s="13" t="n">
        <v>0.05</v>
      </c>
      <c r="J91" s="12" t="n">
        <v>247</v>
      </c>
      <c r="K91" s="9" t="inlineStr">
        <is>
          <t>2025-11-21</t>
        </is>
      </c>
      <c r="L91" s="9" t="inlineStr">
        <is>
          <t>Completed</t>
        </is>
      </c>
    </row>
    <row r="92">
      <c r="A92" s="9" t="inlineStr">
        <is>
          <t>TXN-2091</t>
        </is>
      </c>
      <c r="B92" s="9" t="inlineStr">
        <is>
          <t>CUST-232</t>
        </is>
      </c>
      <c r="C92" s="10" t="inlineStr">
        <is>
          <t>Amit Sharma</t>
        </is>
      </c>
      <c r="D92" s="9" t="inlineStr">
        <is>
          <t>West</t>
        </is>
      </c>
      <c r="E92" s="10" t="inlineStr">
        <is>
          <t>Ergonomic Keyboard</t>
        </is>
      </c>
      <c r="F92" s="10" t="inlineStr">
        <is>
          <t>Accessories</t>
        </is>
      </c>
      <c r="G92" s="11" t="n">
        <v>2</v>
      </c>
      <c r="H92" s="12" t="n">
        <v>75</v>
      </c>
      <c r="I92" s="13" t="n">
        <v>0.05</v>
      </c>
      <c r="J92" s="12" t="n">
        <v>142.5</v>
      </c>
      <c r="K92" s="9" t="inlineStr">
        <is>
          <t>2025-02-19</t>
        </is>
      </c>
      <c r="L92" s="9" t="inlineStr">
        <is>
          <t>Completed</t>
        </is>
      </c>
    </row>
    <row r="93">
      <c r="A93" s="9" t="inlineStr">
        <is>
          <t>TXN-2092</t>
        </is>
      </c>
      <c r="B93" s="9" t="inlineStr">
        <is>
          <t>CUST-233</t>
        </is>
      </c>
      <c r="C93" s="10" t="inlineStr">
        <is>
          <t>Neha Kumar</t>
        </is>
      </c>
      <c r="D93" s="9" t="inlineStr">
        <is>
          <t>West</t>
        </is>
      </c>
      <c r="E93" s="10" t="inlineStr">
        <is>
          <t>Ergonomic Keyboard</t>
        </is>
      </c>
      <c r="F93" s="10" t="inlineStr">
        <is>
          <t>Accessories</t>
        </is>
      </c>
      <c r="G93" s="11" t="n">
        <v>2</v>
      </c>
      <c r="H93" s="12" t="n">
        <v>75</v>
      </c>
      <c r="I93" s="13" t="n">
        <v>0</v>
      </c>
      <c r="J93" s="12" t="n">
        <v>150</v>
      </c>
      <c r="K93" s="9" t="inlineStr">
        <is>
          <t>2026-02-02</t>
        </is>
      </c>
      <c r="L93" s="9" t="inlineStr">
        <is>
          <t>Completed</t>
        </is>
      </c>
    </row>
    <row r="94">
      <c r="A94" s="9" t="inlineStr">
        <is>
          <t>TXN-2093</t>
        </is>
      </c>
      <c r="B94" s="9" t="inlineStr">
        <is>
          <t>CUST-234</t>
        </is>
      </c>
      <c r="C94" s="10" t="inlineStr">
        <is>
          <t>Priya Kumar</t>
        </is>
      </c>
      <c r="D94" s="9" t="inlineStr">
        <is>
          <t>North</t>
        </is>
      </c>
      <c r="E94" s="10" t="inlineStr">
        <is>
          <t>USB-C Hub</t>
        </is>
      </c>
      <c r="F94" s="10" t="inlineStr">
        <is>
          <t>Accessories</t>
        </is>
      </c>
      <c r="G94" s="11" t="n">
        <v>2</v>
      </c>
      <c r="H94" s="12" t="n">
        <v>45</v>
      </c>
      <c r="I94" s="13" t="n">
        <v>0.15</v>
      </c>
      <c r="J94" s="12" t="n">
        <v>76.5</v>
      </c>
      <c r="K94" s="9" t="inlineStr">
        <is>
          <t>2026-07-25</t>
        </is>
      </c>
      <c r="L94" s="9" t="inlineStr">
        <is>
          <t>Completed</t>
        </is>
      </c>
    </row>
    <row r="95">
      <c r="A95" s="9" t="inlineStr">
        <is>
          <t>TXN-2094</t>
        </is>
      </c>
      <c r="B95" s="9" t="inlineStr">
        <is>
          <t>CUST-235</t>
        </is>
      </c>
      <c r="C95" s="10" t="inlineStr">
        <is>
          <t>Pooja Bose</t>
        </is>
      </c>
      <c r="D95" s="9" t="inlineStr">
        <is>
          <t>North</t>
        </is>
      </c>
      <c r="E95" s="10" t="inlineStr">
        <is>
          <t>Ergonomic Keyboard</t>
        </is>
      </c>
      <c r="F95" s="10" t="inlineStr">
        <is>
          <t>Accessories</t>
        </is>
      </c>
      <c r="G95" s="11" t="n">
        <v>1</v>
      </c>
      <c r="H95" s="12" t="n">
        <v>75</v>
      </c>
      <c r="I95" s="13" t="n">
        <v>0.05</v>
      </c>
      <c r="J95" s="12" t="n">
        <v>71.25</v>
      </c>
      <c r="K95" s="9" t="inlineStr">
        <is>
          <t>2026-01-18</t>
        </is>
      </c>
      <c r="L95" s="9" t="inlineStr">
        <is>
          <t>Completed</t>
        </is>
      </c>
    </row>
    <row r="96">
      <c r="A96" s="9" t="inlineStr">
        <is>
          <t>TXN-2095</t>
        </is>
      </c>
      <c r="B96" s="9" t="inlineStr">
        <is>
          <t>CUST-236</t>
        </is>
      </c>
      <c r="C96" s="10" t="inlineStr">
        <is>
          <t>Pooja Mehta</t>
        </is>
      </c>
      <c r="D96" s="9" t="inlineStr">
        <is>
          <t>East</t>
        </is>
      </c>
      <c r="E96" s="10" t="inlineStr">
        <is>
          <t>External SSD 1TB</t>
        </is>
      </c>
      <c r="F96" s="10" t="inlineStr">
        <is>
          <t>Storage</t>
        </is>
      </c>
      <c r="G96" s="11" t="n">
        <v>1</v>
      </c>
      <c r="H96" s="12" t="n">
        <v>130</v>
      </c>
      <c r="I96" s="13" t="n">
        <v>0</v>
      </c>
      <c r="J96" s="12" t="n">
        <v>130</v>
      </c>
      <c r="K96" s="9" t="inlineStr">
        <is>
          <t>2025-11-12</t>
        </is>
      </c>
      <c r="L96" s="9" t="inlineStr">
        <is>
          <t>Pending</t>
        </is>
      </c>
    </row>
    <row r="97">
      <c r="A97" s="9" t="inlineStr">
        <is>
          <t>TXN-2096</t>
        </is>
      </c>
      <c r="B97" s="9" t="inlineStr">
        <is>
          <t>CUST-237</t>
        </is>
      </c>
      <c r="C97" s="10" t="inlineStr">
        <is>
          <t>Reyansh Bose</t>
        </is>
      </c>
      <c r="D97" s="9" t="inlineStr">
        <is>
          <t>Central</t>
        </is>
      </c>
      <c r="E97" s="10" t="inlineStr">
        <is>
          <t>USB-C Hub</t>
        </is>
      </c>
      <c r="F97" s="10" t="inlineStr">
        <is>
          <t>Accessories</t>
        </is>
      </c>
      <c r="G97" s="11" t="n">
        <v>2</v>
      </c>
      <c r="H97" s="12" t="n">
        <v>45</v>
      </c>
      <c r="I97" s="13" t="n">
        <v>0.1</v>
      </c>
      <c r="J97" s="12" t="n">
        <v>81</v>
      </c>
      <c r="K97" s="9" t="inlineStr">
        <is>
          <t>2025-02-22</t>
        </is>
      </c>
      <c r="L97" s="9" t="inlineStr">
        <is>
          <t>Completed</t>
        </is>
      </c>
    </row>
    <row r="98">
      <c r="A98" s="9" t="inlineStr">
        <is>
          <t>TXN-2097</t>
        </is>
      </c>
      <c r="B98" s="9" t="inlineStr">
        <is>
          <t>CUST-238</t>
        </is>
      </c>
      <c r="C98" s="10" t="inlineStr">
        <is>
          <t>Rahul Malhotra</t>
        </is>
      </c>
      <c r="D98" s="9" t="inlineStr">
        <is>
          <t>West</t>
        </is>
      </c>
      <c r="E98" s="10" t="inlineStr">
        <is>
          <t>Ultra HD Monitor</t>
        </is>
      </c>
      <c r="F98" s="10" t="inlineStr">
        <is>
          <t>Electronics</t>
        </is>
      </c>
      <c r="G98" s="11" t="n">
        <v>1</v>
      </c>
      <c r="H98" s="12" t="n">
        <v>350</v>
      </c>
      <c r="I98" s="13" t="n">
        <v>0</v>
      </c>
      <c r="J98" s="12" t="n">
        <v>350</v>
      </c>
      <c r="K98" s="9" t="inlineStr">
        <is>
          <t>2026-07-22</t>
        </is>
      </c>
      <c r="L98" s="9" t="inlineStr">
        <is>
          <t>Completed</t>
        </is>
      </c>
    </row>
    <row r="99">
      <c r="A99" s="9" t="inlineStr">
        <is>
          <t>TXN-2098</t>
        </is>
      </c>
      <c r="B99" s="9" t="inlineStr">
        <is>
          <t>CUST-239</t>
        </is>
      </c>
      <c r="C99" s="10" t="inlineStr">
        <is>
          <t>Aarav Deshmukh</t>
        </is>
      </c>
      <c r="D99" s="9" t="inlineStr">
        <is>
          <t>West</t>
        </is>
      </c>
      <c r="E99" s="10" t="inlineStr">
        <is>
          <t>Smart Tablet</t>
        </is>
      </c>
      <c r="F99" s="10" t="inlineStr">
        <is>
          <t>Electronics</t>
        </is>
      </c>
      <c r="G99" s="11" t="n">
        <v>2</v>
      </c>
      <c r="H99" s="12" t="n">
        <v>450</v>
      </c>
      <c r="I99" s="13" t="n">
        <v>0</v>
      </c>
      <c r="J99" s="12" t="n">
        <v>900</v>
      </c>
      <c r="K99" s="9" t="inlineStr">
        <is>
          <t>2026-03-02</t>
        </is>
      </c>
      <c r="L99" s="9" t="inlineStr">
        <is>
          <t>Completed</t>
        </is>
      </c>
    </row>
    <row r="100">
      <c r="A100" s="9" t="inlineStr">
        <is>
          <t>TXN-2099</t>
        </is>
      </c>
      <c r="B100" s="9" t="inlineStr">
        <is>
          <t>CUST-240</t>
        </is>
      </c>
      <c r="C100" s="10" t="inlineStr">
        <is>
          <t>Ayaan Shah</t>
        </is>
      </c>
      <c r="D100" s="9" t="inlineStr">
        <is>
          <t>Central</t>
        </is>
      </c>
      <c r="E100" s="10" t="inlineStr">
        <is>
          <t>Ergonomic Keyboard</t>
        </is>
      </c>
      <c r="F100" s="10" t="inlineStr">
        <is>
          <t>Accessories</t>
        </is>
      </c>
      <c r="G100" s="11" t="n">
        <v>1</v>
      </c>
      <c r="H100" s="12" t="n">
        <v>75</v>
      </c>
      <c r="I100" s="13" t="n">
        <v>0</v>
      </c>
      <c r="J100" s="12" t="n">
        <v>75</v>
      </c>
      <c r="K100" s="9" t="inlineStr">
        <is>
          <t>2025-03-04</t>
        </is>
      </c>
      <c r="L100" s="9" t="inlineStr">
        <is>
          <t>Completed</t>
        </is>
      </c>
    </row>
    <row r="101">
      <c r="A101" s="9" t="inlineStr">
        <is>
          <t>TXN-2100</t>
        </is>
      </c>
      <c r="B101" s="9" t="inlineStr">
        <is>
          <t>CUST-241</t>
        </is>
      </c>
      <c r="C101" s="10" t="inlineStr">
        <is>
          <t>Rahul Bose</t>
        </is>
      </c>
      <c r="D101" s="9" t="inlineStr">
        <is>
          <t>West</t>
        </is>
      </c>
      <c r="E101" s="10" t="inlineStr">
        <is>
          <t>External SSD 1TB</t>
        </is>
      </c>
      <c r="F101" s="10" t="inlineStr">
        <is>
          <t>Storage</t>
        </is>
      </c>
      <c r="G101" s="11" t="n">
        <v>3</v>
      </c>
      <c r="H101" s="12" t="n">
        <v>130</v>
      </c>
      <c r="I101" s="13" t="n">
        <v>0</v>
      </c>
      <c r="J101" s="12" t="n">
        <v>390</v>
      </c>
      <c r="K101" s="9" t="inlineStr">
        <is>
          <t>2025-04-03</t>
        </is>
      </c>
      <c r="L101" s="9" t="inlineStr">
        <is>
          <t>Completed</t>
        </is>
      </c>
    </row>
    <row r="102">
      <c r="A102" s="9" t="inlineStr">
        <is>
          <t>TXN-2101</t>
        </is>
      </c>
      <c r="B102" s="9" t="inlineStr">
        <is>
          <t>CUST-242</t>
        </is>
      </c>
      <c r="C102" s="10" t="inlineStr">
        <is>
          <t>Sai Singh</t>
        </is>
      </c>
      <c r="D102" s="9" t="inlineStr">
        <is>
          <t>Central</t>
        </is>
      </c>
      <c r="E102" s="10" t="inlineStr">
        <is>
          <t>Smart Tablet</t>
        </is>
      </c>
      <c r="F102" s="10" t="inlineStr">
        <is>
          <t>Electronics</t>
        </is>
      </c>
      <c r="G102" s="11" t="n">
        <v>1</v>
      </c>
      <c r="H102" s="12" t="n">
        <v>450</v>
      </c>
      <c r="I102" s="13" t="n">
        <v>0.15</v>
      </c>
      <c r="J102" s="12" t="n">
        <v>382.5</v>
      </c>
      <c r="K102" s="9" t="inlineStr">
        <is>
          <t>2026-05-23</t>
        </is>
      </c>
      <c r="L102" s="9" t="inlineStr">
        <is>
          <t>Completed</t>
        </is>
      </c>
    </row>
    <row r="103">
      <c r="A103" s="9" t="inlineStr">
        <is>
          <t>TXN-2102</t>
        </is>
      </c>
      <c r="B103" s="9" t="inlineStr">
        <is>
          <t>CUST-243</t>
        </is>
      </c>
      <c r="C103" s="10" t="inlineStr">
        <is>
          <t>Vihaan Sharma</t>
        </is>
      </c>
      <c r="D103" s="9" t="inlineStr">
        <is>
          <t>North</t>
        </is>
      </c>
      <c r="E103" s="10" t="inlineStr">
        <is>
          <t>USB-C Hub</t>
        </is>
      </c>
      <c r="F103" s="10" t="inlineStr">
        <is>
          <t>Accessories</t>
        </is>
      </c>
      <c r="G103" s="11" t="n">
        <v>5</v>
      </c>
      <c r="H103" s="12" t="n">
        <v>45</v>
      </c>
      <c r="I103" s="13" t="n">
        <v>0</v>
      </c>
      <c r="J103" s="12" t="n">
        <v>225</v>
      </c>
      <c r="K103" s="9" t="inlineStr">
        <is>
          <t>2026-06-04</t>
        </is>
      </c>
      <c r="L103" s="9" t="inlineStr">
        <is>
          <t>Completed</t>
        </is>
      </c>
    </row>
    <row r="104">
      <c r="A104" s="9" t="inlineStr">
        <is>
          <t>TXN-2103</t>
        </is>
      </c>
      <c r="B104" s="9" t="inlineStr">
        <is>
          <t>CUST-244</t>
        </is>
      </c>
      <c r="C104" s="10" t="inlineStr">
        <is>
          <t>Vivaan Shah</t>
        </is>
      </c>
      <c r="D104" s="9" t="inlineStr">
        <is>
          <t>West</t>
        </is>
      </c>
      <c r="E104" s="10" t="inlineStr">
        <is>
          <t>Ergonomic Keyboard</t>
        </is>
      </c>
      <c r="F104" s="10" t="inlineStr">
        <is>
          <t>Accessories</t>
        </is>
      </c>
      <c r="G104" s="11" t="n">
        <v>2</v>
      </c>
      <c r="H104" s="12" t="n">
        <v>75</v>
      </c>
      <c r="I104" s="13" t="n">
        <v>0.05</v>
      </c>
      <c r="J104" s="12" t="n">
        <v>142.5</v>
      </c>
      <c r="K104" s="9" t="inlineStr">
        <is>
          <t>2025-01-10</t>
        </is>
      </c>
      <c r="L104" s="9" t="inlineStr">
        <is>
          <t>Completed</t>
        </is>
      </c>
    </row>
    <row r="105">
      <c r="A105" s="9" t="inlineStr">
        <is>
          <t>TXN-2104</t>
        </is>
      </c>
      <c r="B105" s="9" t="inlineStr">
        <is>
          <t>CUST-245</t>
        </is>
      </c>
      <c r="C105" s="10" t="inlineStr">
        <is>
          <t>Sanya Reddy</t>
        </is>
      </c>
      <c r="D105" s="9" t="inlineStr">
        <is>
          <t>Central</t>
        </is>
      </c>
      <c r="E105" s="10" t="inlineStr">
        <is>
          <t>Smart Tablet</t>
        </is>
      </c>
      <c r="F105" s="10" t="inlineStr">
        <is>
          <t>Electronics</t>
        </is>
      </c>
      <c r="G105" s="11" t="n">
        <v>3</v>
      </c>
      <c r="H105" s="12" t="n">
        <v>450</v>
      </c>
      <c r="I105" s="13" t="n">
        <v>0</v>
      </c>
      <c r="J105" s="12" t="n">
        <v>1350</v>
      </c>
      <c r="K105" s="9" t="inlineStr">
        <is>
          <t>2026-02-23</t>
        </is>
      </c>
      <c r="L105" s="9" t="inlineStr">
        <is>
          <t>Completed</t>
        </is>
      </c>
    </row>
    <row r="106">
      <c r="A106" s="9" t="inlineStr">
        <is>
          <t>TXN-2105</t>
        </is>
      </c>
      <c r="B106" s="9" t="inlineStr">
        <is>
          <t>CUST-246</t>
        </is>
      </c>
      <c r="C106" s="10" t="inlineStr">
        <is>
          <t>Neha Sharma</t>
        </is>
      </c>
      <c r="D106" s="9" t="inlineStr">
        <is>
          <t>East</t>
        </is>
      </c>
      <c r="E106" s="10" t="inlineStr">
        <is>
          <t>USB-C Hub</t>
        </is>
      </c>
      <c r="F106" s="10" t="inlineStr">
        <is>
          <t>Accessories</t>
        </is>
      </c>
      <c r="G106" s="11" t="n">
        <v>1</v>
      </c>
      <c r="H106" s="12" t="n">
        <v>45</v>
      </c>
      <c r="I106" s="13" t="n">
        <v>0.1</v>
      </c>
      <c r="J106" s="12" t="n">
        <v>40.5</v>
      </c>
      <c r="K106" s="9" t="inlineStr">
        <is>
          <t>2025-01-07</t>
        </is>
      </c>
      <c r="L106" s="9" t="inlineStr">
        <is>
          <t>Completed</t>
        </is>
      </c>
    </row>
    <row r="107">
      <c r="A107" s="9" t="inlineStr">
        <is>
          <t>TXN-2106</t>
        </is>
      </c>
      <c r="B107" s="9" t="inlineStr">
        <is>
          <t>CUST-247</t>
        </is>
      </c>
      <c r="C107" s="10" t="inlineStr">
        <is>
          <t>Aadhya Shah</t>
        </is>
      </c>
      <c r="D107" s="9" t="inlineStr">
        <is>
          <t>West</t>
        </is>
      </c>
      <c r="E107" s="10" t="inlineStr">
        <is>
          <t>USB-C Hub</t>
        </is>
      </c>
      <c r="F107" s="10" t="inlineStr">
        <is>
          <t>Accessories</t>
        </is>
      </c>
      <c r="G107" s="11" t="n">
        <v>3</v>
      </c>
      <c r="H107" s="12" t="n">
        <v>45</v>
      </c>
      <c r="I107" s="13" t="n">
        <v>0</v>
      </c>
      <c r="J107" s="12" t="n">
        <v>135</v>
      </c>
      <c r="K107" s="9" t="inlineStr">
        <is>
          <t>2026-04-25</t>
        </is>
      </c>
      <c r="L107" s="9" t="inlineStr">
        <is>
          <t>Pending</t>
        </is>
      </c>
    </row>
    <row r="108">
      <c r="A108" s="9" t="inlineStr">
        <is>
          <t>TXN-2107</t>
        </is>
      </c>
      <c r="B108" s="9" t="inlineStr">
        <is>
          <t>CUST-248</t>
        </is>
      </c>
      <c r="C108" s="10" t="inlineStr">
        <is>
          <t>Karan Bose</t>
        </is>
      </c>
      <c r="D108" s="9" t="inlineStr">
        <is>
          <t>West</t>
        </is>
      </c>
      <c r="E108" s="10" t="inlineStr">
        <is>
          <t>Laptop Pro</t>
        </is>
      </c>
      <c r="F108" s="10" t="inlineStr">
        <is>
          <t>Electronics</t>
        </is>
      </c>
      <c r="G108" s="11" t="n">
        <v>1</v>
      </c>
      <c r="H108" s="12" t="n">
        <v>1200</v>
      </c>
      <c r="I108" s="13" t="n">
        <v>0</v>
      </c>
      <c r="J108" s="12" t="n">
        <v>1200</v>
      </c>
      <c r="K108" s="9" t="inlineStr">
        <is>
          <t>2026-05-23</t>
        </is>
      </c>
      <c r="L108" s="9" t="inlineStr">
        <is>
          <t>Pending</t>
        </is>
      </c>
    </row>
    <row r="109">
      <c r="A109" s="9" t="inlineStr">
        <is>
          <t>TXN-2108</t>
        </is>
      </c>
      <c r="B109" s="9" t="inlineStr">
        <is>
          <t>CUST-249</t>
        </is>
      </c>
      <c r="C109" s="10" t="inlineStr">
        <is>
          <t>Priya Gupta</t>
        </is>
      </c>
      <c r="D109" s="9" t="inlineStr">
        <is>
          <t>North</t>
        </is>
      </c>
      <c r="E109" s="10" t="inlineStr">
        <is>
          <t>Wireless Mouse</t>
        </is>
      </c>
      <c r="F109" s="10" t="inlineStr">
        <is>
          <t>Accessories</t>
        </is>
      </c>
      <c r="G109" s="11" t="n">
        <v>2</v>
      </c>
      <c r="H109" s="12" t="n">
        <v>25</v>
      </c>
      <c r="I109" s="13" t="n">
        <v>0</v>
      </c>
      <c r="J109" s="12" t="n">
        <v>50</v>
      </c>
      <c r="K109" s="9" t="inlineStr">
        <is>
          <t>2026-07-25</t>
        </is>
      </c>
      <c r="L109" s="9" t="inlineStr">
        <is>
          <t>Completed</t>
        </is>
      </c>
    </row>
    <row r="110">
      <c r="A110" s="9" t="inlineStr">
        <is>
          <t>TXN-2109</t>
        </is>
      </c>
      <c r="B110" s="9" t="inlineStr">
        <is>
          <t>CUST-250</t>
        </is>
      </c>
      <c r="C110" s="10" t="inlineStr">
        <is>
          <t>Aditya Bose</t>
        </is>
      </c>
      <c r="D110" s="9" t="inlineStr">
        <is>
          <t>West</t>
        </is>
      </c>
      <c r="E110" s="10" t="inlineStr">
        <is>
          <t>Laptop Pro</t>
        </is>
      </c>
      <c r="F110" s="10" t="inlineStr">
        <is>
          <t>Electronics</t>
        </is>
      </c>
      <c r="G110" s="11" t="n">
        <v>3</v>
      </c>
      <c r="H110" s="12" t="n">
        <v>1200</v>
      </c>
      <c r="I110" s="13" t="n">
        <v>0</v>
      </c>
      <c r="J110" s="12" t="n">
        <v>3600</v>
      </c>
      <c r="K110" s="9" t="inlineStr">
        <is>
          <t>2026-07-25</t>
        </is>
      </c>
      <c r="L110" s="9" t="inlineStr">
        <is>
          <t>Pending</t>
        </is>
      </c>
    </row>
    <row r="111">
      <c r="A111" s="9" t="inlineStr">
        <is>
          <t>TXN-2110</t>
        </is>
      </c>
      <c r="B111" s="9" t="inlineStr">
        <is>
          <t>CUST-251</t>
        </is>
      </c>
      <c r="C111" s="10" t="inlineStr">
        <is>
          <t>Karan Patel</t>
        </is>
      </c>
      <c r="D111" s="9" t="inlineStr">
        <is>
          <t>Central</t>
        </is>
      </c>
      <c r="E111" s="10" t="inlineStr">
        <is>
          <t>Smart Tablet</t>
        </is>
      </c>
      <c r="F111" s="10" t="inlineStr">
        <is>
          <t>Electronics</t>
        </is>
      </c>
      <c r="G111" s="11" t="n">
        <v>2</v>
      </c>
      <c r="H111" s="12" t="n">
        <v>450</v>
      </c>
      <c r="I111" s="13" t="n">
        <v>0</v>
      </c>
      <c r="J111" s="12" t="n">
        <v>900</v>
      </c>
      <c r="K111" s="9" t="inlineStr">
        <is>
          <t>2025-07-19</t>
        </is>
      </c>
      <c r="L111" s="9" t="inlineStr">
        <is>
          <t>Completed</t>
        </is>
      </c>
    </row>
    <row r="112">
      <c r="A112" s="9" t="inlineStr">
        <is>
          <t>TXN-2111</t>
        </is>
      </c>
      <c r="B112" s="9" t="inlineStr">
        <is>
          <t>CUST-252</t>
        </is>
      </c>
      <c r="C112" s="10" t="inlineStr">
        <is>
          <t>Sanya Shah</t>
        </is>
      </c>
      <c r="D112" s="9" t="inlineStr">
        <is>
          <t>North</t>
        </is>
      </c>
      <c r="E112" s="10" t="inlineStr">
        <is>
          <t>USB-C Hub</t>
        </is>
      </c>
      <c r="F112" s="10" t="inlineStr">
        <is>
          <t>Accessories</t>
        </is>
      </c>
      <c r="G112" s="11" t="n">
        <v>3</v>
      </c>
      <c r="H112" s="12" t="n">
        <v>45</v>
      </c>
      <c r="I112" s="13" t="n">
        <v>0.05</v>
      </c>
      <c r="J112" s="12" t="n">
        <v>128.25</v>
      </c>
      <c r="K112" s="9" t="inlineStr">
        <is>
          <t>2026-02-09</t>
        </is>
      </c>
      <c r="L112" s="9" t="inlineStr">
        <is>
          <t>Completed</t>
        </is>
      </c>
    </row>
    <row r="113">
      <c r="A113" s="9" t="inlineStr">
        <is>
          <t>TXN-2112</t>
        </is>
      </c>
      <c r="B113" s="9" t="inlineStr">
        <is>
          <t>CUST-253</t>
        </is>
      </c>
      <c r="C113" s="10" t="inlineStr">
        <is>
          <t>Reyansh Joshi</t>
        </is>
      </c>
      <c r="D113" s="9" t="inlineStr">
        <is>
          <t>Central</t>
        </is>
      </c>
      <c r="E113" s="10" t="inlineStr">
        <is>
          <t>External SSD 1TB</t>
        </is>
      </c>
      <c r="F113" s="10" t="inlineStr">
        <is>
          <t>Storage</t>
        </is>
      </c>
      <c r="G113" s="11" t="n">
        <v>3</v>
      </c>
      <c r="H113" s="12" t="n">
        <v>130</v>
      </c>
      <c r="I113" s="13" t="n">
        <v>0.05</v>
      </c>
      <c r="J113" s="12" t="n">
        <v>370.5</v>
      </c>
      <c r="K113" s="9" t="inlineStr">
        <is>
          <t>2025-09-09</t>
        </is>
      </c>
      <c r="L113" s="9" t="inlineStr">
        <is>
          <t>Completed</t>
        </is>
      </c>
    </row>
    <row r="114">
      <c r="A114" s="9" t="inlineStr">
        <is>
          <t>TXN-2113</t>
        </is>
      </c>
      <c r="B114" s="9" t="inlineStr">
        <is>
          <t>CUST-254</t>
        </is>
      </c>
      <c r="C114" s="10" t="inlineStr">
        <is>
          <t>Aadhya Joshi</t>
        </is>
      </c>
      <c r="D114" s="9" t="inlineStr">
        <is>
          <t>North</t>
        </is>
      </c>
      <c r="E114" s="10" t="inlineStr">
        <is>
          <t>Smart Tablet</t>
        </is>
      </c>
      <c r="F114" s="10" t="inlineStr">
        <is>
          <t>Electronics</t>
        </is>
      </c>
      <c r="G114" s="11" t="n">
        <v>3</v>
      </c>
      <c r="H114" s="12" t="n">
        <v>450</v>
      </c>
      <c r="I114" s="13" t="n">
        <v>0.15</v>
      </c>
      <c r="J114" s="12" t="n">
        <v>1147.5</v>
      </c>
      <c r="K114" s="9" t="inlineStr">
        <is>
          <t>2025-09-30</t>
        </is>
      </c>
      <c r="L114" s="9" t="inlineStr">
        <is>
          <t>Completed</t>
        </is>
      </c>
    </row>
    <row r="115">
      <c r="A115" s="9" t="inlineStr">
        <is>
          <t>TXN-2114</t>
        </is>
      </c>
      <c r="B115" s="9" t="inlineStr">
        <is>
          <t>CUST-255</t>
        </is>
      </c>
      <c r="C115" s="10" t="inlineStr">
        <is>
          <t>Diya Sharma</t>
        </is>
      </c>
      <c r="D115" s="9" t="inlineStr">
        <is>
          <t>West</t>
        </is>
      </c>
      <c r="E115" s="10" t="inlineStr">
        <is>
          <t>Wireless Mouse</t>
        </is>
      </c>
      <c r="F115" s="10" t="inlineStr">
        <is>
          <t>Accessories</t>
        </is>
      </c>
      <c r="G115" s="11" t="n">
        <v>1</v>
      </c>
      <c r="H115" s="12" t="n">
        <v>25</v>
      </c>
      <c r="I115" s="13" t="n">
        <v>0</v>
      </c>
      <c r="J115" s="12" t="n">
        <v>25</v>
      </c>
      <c r="K115" s="9" t="inlineStr">
        <is>
          <t>2025-04-12</t>
        </is>
      </c>
      <c r="L115" s="9" t="inlineStr">
        <is>
          <t>Completed</t>
        </is>
      </c>
    </row>
    <row r="116">
      <c r="A116" s="9" t="inlineStr">
        <is>
          <t>TXN-2115</t>
        </is>
      </c>
      <c r="B116" s="9" t="inlineStr">
        <is>
          <t>CUST-256</t>
        </is>
      </c>
      <c r="C116" s="10" t="inlineStr">
        <is>
          <t>Sanya Verma</t>
        </is>
      </c>
      <c r="D116" s="9" t="inlineStr">
        <is>
          <t>West</t>
        </is>
      </c>
      <c r="E116" s="10" t="inlineStr">
        <is>
          <t>Laptop Pro</t>
        </is>
      </c>
      <c r="F116" s="10" t="inlineStr">
        <is>
          <t>Electronics</t>
        </is>
      </c>
      <c r="G116" s="11" t="n">
        <v>3</v>
      </c>
      <c r="H116" s="12" t="n">
        <v>1200</v>
      </c>
      <c r="I116" s="13" t="n">
        <v>0.15</v>
      </c>
      <c r="J116" s="12" t="n">
        <v>3060</v>
      </c>
      <c r="K116" s="9" t="inlineStr">
        <is>
          <t>2026-05-20</t>
        </is>
      </c>
      <c r="L116" s="9" t="inlineStr">
        <is>
          <t>Completed</t>
        </is>
      </c>
    </row>
    <row r="117">
      <c r="A117" s="9" t="inlineStr">
        <is>
          <t>TXN-2116</t>
        </is>
      </c>
      <c r="B117" s="9" t="inlineStr">
        <is>
          <t>CUST-257</t>
        </is>
      </c>
      <c r="C117" s="10" t="inlineStr">
        <is>
          <t>Vivaan Mehta</t>
        </is>
      </c>
      <c r="D117" s="9" t="inlineStr">
        <is>
          <t>North</t>
        </is>
      </c>
      <c r="E117" s="10" t="inlineStr">
        <is>
          <t>Wireless Mouse</t>
        </is>
      </c>
      <c r="F117" s="10" t="inlineStr">
        <is>
          <t>Accessories</t>
        </is>
      </c>
      <c r="G117" s="11" t="n">
        <v>2</v>
      </c>
      <c r="H117" s="12" t="n">
        <v>25</v>
      </c>
      <c r="I117" s="13" t="n">
        <v>0.1</v>
      </c>
      <c r="J117" s="12" t="n">
        <v>45</v>
      </c>
      <c r="K117" s="9" t="inlineStr">
        <is>
          <t>2025-10-20</t>
        </is>
      </c>
      <c r="L117" s="9" t="inlineStr">
        <is>
          <t>Completed</t>
        </is>
      </c>
    </row>
    <row r="118">
      <c r="A118" s="9" t="inlineStr">
        <is>
          <t>TXN-2117</t>
        </is>
      </c>
      <c r="B118" s="9" t="inlineStr">
        <is>
          <t>CUST-258</t>
        </is>
      </c>
      <c r="C118" s="10" t="inlineStr">
        <is>
          <t>Rahul Malhotra</t>
        </is>
      </c>
      <c r="D118" s="9" t="inlineStr">
        <is>
          <t>South</t>
        </is>
      </c>
      <c r="E118" s="10" t="inlineStr">
        <is>
          <t>External SSD 1TB</t>
        </is>
      </c>
      <c r="F118" s="10" t="inlineStr">
        <is>
          <t>Storage</t>
        </is>
      </c>
      <c r="G118" s="11" t="n">
        <v>2</v>
      </c>
      <c r="H118" s="12" t="n">
        <v>130</v>
      </c>
      <c r="I118" s="13" t="n">
        <v>0</v>
      </c>
      <c r="J118" s="12" t="n">
        <v>260</v>
      </c>
      <c r="K118" s="9" t="inlineStr">
        <is>
          <t>2026-08-16</t>
        </is>
      </c>
      <c r="L118" s="9" t="inlineStr">
        <is>
          <t>Pending</t>
        </is>
      </c>
    </row>
    <row r="119">
      <c r="A119" s="9" t="inlineStr">
        <is>
          <t>TXN-2118</t>
        </is>
      </c>
      <c r="B119" s="9" t="inlineStr">
        <is>
          <t>CUST-259</t>
        </is>
      </c>
      <c r="C119" s="10" t="inlineStr">
        <is>
          <t>Amit Iyer</t>
        </is>
      </c>
      <c r="D119" s="9" t="inlineStr">
        <is>
          <t>Central</t>
        </is>
      </c>
      <c r="E119" s="10" t="inlineStr">
        <is>
          <t>Smart Tablet</t>
        </is>
      </c>
      <c r="F119" s="10" t="inlineStr">
        <is>
          <t>Electronics</t>
        </is>
      </c>
      <c r="G119" s="11" t="n">
        <v>1</v>
      </c>
      <c r="H119" s="12" t="n">
        <v>450</v>
      </c>
      <c r="I119" s="13" t="n">
        <v>0.05</v>
      </c>
      <c r="J119" s="12" t="n">
        <v>427.5</v>
      </c>
      <c r="K119" s="9" t="inlineStr">
        <is>
          <t>2025-01-21</t>
        </is>
      </c>
      <c r="L119" s="9" t="inlineStr">
        <is>
          <t>Cancelled</t>
        </is>
      </c>
    </row>
    <row r="120">
      <c r="A120" s="9" t="inlineStr">
        <is>
          <t>TXN-2119</t>
        </is>
      </c>
      <c r="B120" s="9" t="inlineStr">
        <is>
          <t>CUST-260</t>
        </is>
      </c>
      <c r="C120" s="10" t="inlineStr">
        <is>
          <t>Arjun Kumar</t>
        </is>
      </c>
      <c r="D120" s="9" t="inlineStr">
        <is>
          <t>Central</t>
        </is>
      </c>
      <c r="E120" s="10" t="inlineStr">
        <is>
          <t>External SSD 1TB</t>
        </is>
      </c>
      <c r="F120" s="10" t="inlineStr">
        <is>
          <t>Storage</t>
        </is>
      </c>
      <c r="G120" s="11" t="n">
        <v>1</v>
      </c>
      <c r="H120" s="12" t="n">
        <v>130</v>
      </c>
      <c r="I120" s="13" t="n">
        <v>0.1</v>
      </c>
      <c r="J120" s="12" t="n">
        <v>117</v>
      </c>
      <c r="K120" s="9" t="inlineStr">
        <is>
          <t>2025-08-16</t>
        </is>
      </c>
      <c r="L120" s="9" t="inlineStr">
        <is>
          <t>Completed</t>
        </is>
      </c>
    </row>
    <row r="121">
      <c r="A121" s="9" t="inlineStr">
        <is>
          <t>TXN-2120</t>
        </is>
      </c>
      <c r="B121" s="9" t="inlineStr">
        <is>
          <t>CUST-201</t>
        </is>
      </c>
      <c r="C121" s="10" t="inlineStr">
        <is>
          <t>Vivaan Shah</t>
        </is>
      </c>
      <c r="D121" s="9" t="inlineStr">
        <is>
          <t>West</t>
        </is>
      </c>
      <c r="E121" s="10" t="inlineStr">
        <is>
          <t>Noise-Canceling Headphones</t>
        </is>
      </c>
      <c r="F121" s="10" t="inlineStr">
        <is>
          <t>Audio</t>
        </is>
      </c>
      <c r="G121" s="11" t="n">
        <v>1</v>
      </c>
      <c r="H121" s="12" t="n">
        <v>180</v>
      </c>
      <c r="I121" s="13" t="n">
        <v>0.1</v>
      </c>
      <c r="J121" s="12" t="n">
        <v>162</v>
      </c>
      <c r="K121" s="9" t="inlineStr">
        <is>
          <t>2026-05-21</t>
        </is>
      </c>
      <c r="L121" s="9" t="inlineStr">
        <is>
          <t>Completed</t>
        </is>
      </c>
    </row>
    <row r="122">
      <c r="A122" s="9" t="inlineStr">
        <is>
          <t>TXN-2121</t>
        </is>
      </c>
      <c r="B122" s="9" t="inlineStr">
        <is>
          <t>CUST-202</t>
        </is>
      </c>
      <c r="C122" s="10" t="inlineStr">
        <is>
          <t>Amit Verma</t>
        </is>
      </c>
      <c r="D122" s="9" t="inlineStr">
        <is>
          <t>West</t>
        </is>
      </c>
      <c r="E122" s="10" t="inlineStr">
        <is>
          <t>Smart Tablet</t>
        </is>
      </c>
      <c r="F122" s="10" t="inlineStr">
        <is>
          <t>Electronics</t>
        </is>
      </c>
      <c r="G122" s="11" t="n">
        <v>1</v>
      </c>
      <c r="H122" s="12" t="n">
        <v>450</v>
      </c>
      <c r="I122" s="13" t="n">
        <v>0.05</v>
      </c>
      <c r="J122" s="12" t="n">
        <v>427.5</v>
      </c>
      <c r="K122" s="9" t="inlineStr">
        <is>
          <t>2026-06-08</t>
        </is>
      </c>
      <c r="L122" s="9" t="inlineStr">
        <is>
          <t>Shipped</t>
        </is>
      </c>
    </row>
    <row r="123">
      <c r="A123" s="9" t="inlineStr">
        <is>
          <t>TXN-2122</t>
        </is>
      </c>
      <c r="B123" s="9" t="inlineStr">
        <is>
          <t>CUST-203</t>
        </is>
      </c>
      <c r="C123" s="10" t="inlineStr">
        <is>
          <t>Sneha Malhotra</t>
        </is>
      </c>
      <c r="D123" s="9" t="inlineStr">
        <is>
          <t>South</t>
        </is>
      </c>
      <c r="E123" s="10" t="inlineStr">
        <is>
          <t>Ultra HD Monitor</t>
        </is>
      </c>
      <c r="F123" s="10" t="inlineStr">
        <is>
          <t>Electronics</t>
        </is>
      </c>
      <c r="G123" s="11" t="n">
        <v>4</v>
      </c>
      <c r="H123" s="12" t="n">
        <v>350</v>
      </c>
      <c r="I123" s="13" t="n">
        <v>0</v>
      </c>
      <c r="J123" s="12" t="n">
        <v>1400</v>
      </c>
      <c r="K123" s="9" t="inlineStr">
        <is>
          <t>2026-01-22</t>
        </is>
      </c>
      <c r="L123" s="9" t="inlineStr">
        <is>
          <t>Completed</t>
        </is>
      </c>
    </row>
    <row r="124">
      <c r="A124" s="9" t="inlineStr">
        <is>
          <t>TXN-2123</t>
        </is>
      </c>
      <c r="B124" s="9" t="inlineStr">
        <is>
          <t>CUST-204</t>
        </is>
      </c>
      <c r="C124" s="10" t="inlineStr">
        <is>
          <t>Vihaan Bose</t>
        </is>
      </c>
      <c r="D124" s="9" t="inlineStr">
        <is>
          <t>Central</t>
        </is>
      </c>
      <c r="E124" s="10" t="inlineStr">
        <is>
          <t>Wireless Mouse</t>
        </is>
      </c>
      <c r="F124" s="10" t="inlineStr">
        <is>
          <t>Accessories</t>
        </is>
      </c>
      <c r="G124" s="11" t="n">
        <v>1</v>
      </c>
      <c r="H124" s="12" t="n">
        <v>25</v>
      </c>
      <c r="I124" s="13" t="n">
        <v>0</v>
      </c>
      <c r="J124" s="12" t="n">
        <v>25</v>
      </c>
      <c r="K124" s="9" t="inlineStr">
        <is>
          <t>2025-11-22</t>
        </is>
      </c>
      <c r="L124" s="9" t="inlineStr">
        <is>
          <t>Completed</t>
        </is>
      </c>
    </row>
    <row r="125">
      <c r="A125" s="9" t="inlineStr">
        <is>
          <t>TXN-2124</t>
        </is>
      </c>
      <c r="B125" s="9" t="inlineStr">
        <is>
          <t>CUST-205</t>
        </is>
      </c>
      <c r="C125" s="10" t="inlineStr">
        <is>
          <t>Priya Malhotra</t>
        </is>
      </c>
      <c r="D125" s="9" t="inlineStr">
        <is>
          <t>South</t>
        </is>
      </c>
      <c r="E125" s="10" t="inlineStr">
        <is>
          <t>Ergonomic Keyboard</t>
        </is>
      </c>
      <c r="F125" s="10" t="inlineStr">
        <is>
          <t>Accessories</t>
        </is>
      </c>
      <c r="G125" s="11" t="n">
        <v>2</v>
      </c>
      <c r="H125" s="12" t="n">
        <v>75</v>
      </c>
      <c r="I125" s="13" t="n">
        <v>0</v>
      </c>
      <c r="J125" s="12" t="n">
        <v>150</v>
      </c>
      <c r="K125" s="9" t="inlineStr">
        <is>
          <t>2025-06-15</t>
        </is>
      </c>
      <c r="L125" s="9" t="inlineStr">
        <is>
          <t>Completed</t>
        </is>
      </c>
    </row>
    <row r="126">
      <c r="A126" s="9" t="inlineStr">
        <is>
          <t>TXN-2125</t>
        </is>
      </c>
      <c r="B126" s="9" t="inlineStr">
        <is>
          <t>CUST-206</t>
        </is>
      </c>
      <c r="C126" s="10" t="inlineStr">
        <is>
          <t>Neha Singh</t>
        </is>
      </c>
      <c r="D126" s="9" t="inlineStr">
        <is>
          <t>North</t>
        </is>
      </c>
      <c r="E126" s="10" t="inlineStr">
        <is>
          <t>Ultra HD Monitor</t>
        </is>
      </c>
      <c r="F126" s="10" t="inlineStr">
        <is>
          <t>Electronics</t>
        </is>
      </c>
      <c r="G126" s="11" t="n">
        <v>1</v>
      </c>
      <c r="H126" s="12" t="n">
        <v>350</v>
      </c>
      <c r="I126" s="13" t="n">
        <v>0</v>
      </c>
      <c r="J126" s="12" t="n">
        <v>350</v>
      </c>
      <c r="K126" s="9" t="inlineStr">
        <is>
          <t>2026-05-22</t>
        </is>
      </c>
      <c r="L126" s="9" t="inlineStr">
        <is>
          <t>Shipped</t>
        </is>
      </c>
    </row>
    <row r="127">
      <c r="A127" s="9" t="inlineStr">
        <is>
          <t>TXN-2126</t>
        </is>
      </c>
      <c r="B127" s="9" t="inlineStr">
        <is>
          <t>CUST-207</t>
        </is>
      </c>
      <c r="C127" s="10" t="inlineStr">
        <is>
          <t>Aditya Mehta</t>
        </is>
      </c>
      <c r="D127" s="9" t="inlineStr">
        <is>
          <t>Central</t>
        </is>
      </c>
      <c r="E127" s="10" t="inlineStr">
        <is>
          <t>Noise-Canceling Headphones</t>
        </is>
      </c>
      <c r="F127" s="10" t="inlineStr">
        <is>
          <t>Audio</t>
        </is>
      </c>
      <c r="G127" s="11" t="n">
        <v>1</v>
      </c>
      <c r="H127" s="12" t="n">
        <v>180</v>
      </c>
      <c r="I127" s="13" t="n">
        <v>0</v>
      </c>
      <c r="J127" s="12" t="n">
        <v>180</v>
      </c>
      <c r="K127" s="9" t="inlineStr">
        <is>
          <t>2025-03-09</t>
        </is>
      </c>
      <c r="L127" s="9" t="inlineStr">
        <is>
          <t>Completed</t>
        </is>
      </c>
    </row>
    <row r="128">
      <c r="A128" s="9" t="inlineStr">
        <is>
          <t>TXN-2127</t>
        </is>
      </c>
      <c r="B128" s="9" t="inlineStr">
        <is>
          <t>CUST-208</t>
        </is>
      </c>
      <c r="C128" s="10" t="inlineStr">
        <is>
          <t>Sai Sharma</t>
        </is>
      </c>
      <c r="D128" s="9" t="inlineStr">
        <is>
          <t>North</t>
        </is>
      </c>
      <c r="E128" s="10" t="inlineStr">
        <is>
          <t>Laptop Pro</t>
        </is>
      </c>
      <c r="F128" s="10" t="inlineStr">
        <is>
          <t>Electronics</t>
        </is>
      </c>
      <c r="G128" s="11" t="n">
        <v>3</v>
      </c>
      <c r="H128" s="12" t="n">
        <v>1200</v>
      </c>
      <c r="I128" s="13" t="n">
        <v>0.15</v>
      </c>
      <c r="J128" s="12" t="n">
        <v>3060</v>
      </c>
      <c r="K128" s="9" t="inlineStr">
        <is>
          <t>2025-05-26</t>
        </is>
      </c>
      <c r="L128" s="9" t="inlineStr">
        <is>
          <t>Pending</t>
        </is>
      </c>
    </row>
    <row r="129">
      <c r="A129" s="9" t="inlineStr">
        <is>
          <t>TXN-2128</t>
        </is>
      </c>
      <c r="B129" s="9" t="inlineStr">
        <is>
          <t>CUST-209</t>
        </is>
      </c>
      <c r="C129" s="10" t="inlineStr">
        <is>
          <t>Aarav Gupta</t>
        </is>
      </c>
      <c r="D129" s="9" t="inlineStr">
        <is>
          <t>Central</t>
        </is>
      </c>
      <c r="E129" s="10" t="inlineStr">
        <is>
          <t>Noise-Canceling Headphones</t>
        </is>
      </c>
      <c r="F129" s="10" t="inlineStr">
        <is>
          <t>Audio</t>
        </is>
      </c>
      <c r="G129" s="11" t="n">
        <v>1</v>
      </c>
      <c r="H129" s="12" t="n">
        <v>180</v>
      </c>
      <c r="I129" s="13" t="n">
        <v>0.1</v>
      </c>
      <c r="J129" s="12" t="n">
        <v>162</v>
      </c>
      <c r="K129" s="9" t="inlineStr">
        <is>
          <t>2025-05-08</t>
        </is>
      </c>
      <c r="L129" s="9" t="inlineStr">
        <is>
          <t>Completed</t>
        </is>
      </c>
    </row>
    <row r="130">
      <c r="A130" s="9" t="inlineStr">
        <is>
          <t>TXN-2129</t>
        </is>
      </c>
      <c r="B130" s="9" t="inlineStr">
        <is>
          <t>CUST-210</t>
        </is>
      </c>
      <c r="C130" s="10" t="inlineStr">
        <is>
          <t>Amit Deshmukh</t>
        </is>
      </c>
      <c r="D130" s="9" t="inlineStr">
        <is>
          <t>South</t>
        </is>
      </c>
      <c r="E130" s="10" t="inlineStr">
        <is>
          <t>Noise-Canceling Headphones</t>
        </is>
      </c>
      <c r="F130" s="10" t="inlineStr">
        <is>
          <t>Audio</t>
        </is>
      </c>
      <c r="G130" s="11" t="n">
        <v>1</v>
      </c>
      <c r="H130" s="12" t="n">
        <v>180</v>
      </c>
      <c r="I130" s="13" t="n">
        <v>0</v>
      </c>
      <c r="J130" s="12" t="n">
        <v>180</v>
      </c>
      <c r="K130" s="9" t="inlineStr">
        <is>
          <t>2026-08-08</t>
        </is>
      </c>
      <c r="L130" s="9" t="inlineStr">
        <is>
          <t>Completed</t>
        </is>
      </c>
    </row>
    <row r="131">
      <c r="A131" s="9" t="inlineStr">
        <is>
          <t>TXN-2130</t>
        </is>
      </c>
      <c r="B131" s="9" t="inlineStr">
        <is>
          <t>CUST-211</t>
        </is>
      </c>
      <c r="C131" s="10" t="inlineStr">
        <is>
          <t>Ayaan Gupta</t>
        </is>
      </c>
      <c r="D131" s="9" t="inlineStr">
        <is>
          <t>South</t>
        </is>
      </c>
      <c r="E131" s="10" t="inlineStr">
        <is>
          <t>Wireless Mouse</t>
        </is>
      </c>
      <c r="F131" s="10" t="inlineStr">
        <is>
          <t>Accessories</t>
        </is>
      </c>
      <c r="G131" s="11" t="n">
        <v>1</v>
      </c>
      <c r="H131" s="12" t="n">
        <v>25</v>
      </c>
      <c r="I131" s="13" t="n">
        <v>0</v>
      </c>
      <c r="J131" s="12" t="n">
        <v>25</v>
      </c>
      <c r="K131" s="9" t="inlineStr">
        <is>
          <t>2025-05-16</t>
        </is>
      </c>
      <c r="L131" s="9" t="inlineStr">
        <is>
          <t>Shipped</t>
        </is>
      </c>
    </row>
    <row r="132">
      <c r="A132" s="9" t="inlineStr">
        <is>
          <t>TXN-2131</t>
        </is>
      </c>
      <c r="B132" s="9" t="inlineStr">
        <is>
          <t>CUST-212</t>
        </is>
      </c>
      <c r="C132" s="10" t="inlineStr">
        <is>
          <t>Amit Deshmukh</t>
        </is>
      </c>
      <c r="D132" s="9" t="inlineStr">
        <is>
          <t>West</t>
        </is>
      </c>
      <c r="E132" s="10" t="inlineStr">
        <is>
          <t>External SSD 1TB</t>
        </is>
      </c>
      <c r="F132" s="10" t="inlineStr">
        <is>
          <t>Storage</t>
        </is>
      </c>
      <c r="G132" s="11" t="n">
        <v>1</v>
      </c>
      <c r="H132" s="12" t="n">
        <v>130</v>
      </c>
      <c r="I132" s="13" t="n">
        <v>0</v>
      </c>
      <c r="J132" s="12" t="n">
        <v>130</v>
      </c>
      <c r="K132" s="9" t="inlineStr">
        <is>
          <t>2026-05-07</t>
        </is>
      </c>
      <c r="L132" s="9" t="inlineStr">
        <is>
          <t>Completed</t>
        </is>
      </c>
    </row>
    <row r="133">
      <c r="A133" s="9" t="inlineStr">
        <is>
          <t>TXN-2132</t>
        </is>
      </c>
      <c r="B133" s="9" t="inlineStr">
        <is>
          <t>CUST-213</t>
        </is>
      </c>
      <c r="C133" s="10" t="inlineStr">
        <is>
          <t>Sanya Gupta</t>
        </is>
      </c>
      <c r="D133" s="9" t="inlineStr">
        <is>
          <t>West</t>
        </is>
      </c>
      <c r="E133" s="10" t="inlineStr">
        <is>
          <t>Noise-Canceling Headphones</t>
        </is>
      </c>
      <c r="F133" s="10" t="inlineStr">
        <is>
          <t>Audio</t>
        </is>
      </c>
      <c r="G133" s="11" t="n">
        <v>1</v>
      </c>
      <c r="H133" s="12" t="n">
        <v>180</v>
      </c>
      <c r="I133" s="13" t="n">
        <v>0</v>
      </c>
      <c r="J133" s="12" t="n">
        <v>180</v>
      </c>
      <c r="K133" s="9" t="inlineStr">
        <is>
          <t>2026-06-16</t>
        </is>
      </c>
      <c r="L133" s="9" t="inlineStr">
        <is>
          <t>Completed</t>
        </is>
      </c>
    </row>
    <row r="134">
      <c r="A134" s="9" t="inlineStr">
        <is>
          <t>TXN-2133</t>
        </is>
      </c>
      <c r="B134" s="9" t="inlineStr">
        <is>
          <t>CUST-214</t>
        </is>
      </c>
      <c r="C134" s="10" t="inlineStr">
        <is>
          <t>Rohan Shah</t>
        </is>
      </c>
      <c r="D134" s="9" t="inlineStr">
        <is>
          <t>East</t>
        </is>
      </c>
      <c r="E134" s="10" t="inlineStr">
        <is>
          <t>Laptop Pro</t>
        </is>
      </c>
      <c r="F134" s="10" t="inlineStr">
        <is>
          <t>Electronics</t>
        </is>
      </c>
      <c r="G134" s="11" t="n">
        <v>3</v>
      </c>
      <c r="H134" s="12" t="n">
        <v>1200</v>
      </c>
      <c r="I134" s="13" t="n">
        <v>0</v>
      </c>
      <c r="J134" s="12" t="n">
        <v>3600</v>
      </c>
      <c r="K134" s="9" t="inlineStr">
        <is>
          <t>2026-08-02</t>
        </is>
      </c>
      <c r="L134" s="9" t="inlineStr">
        <is>
          <t>Completed</t>
        </is>
      </c>
    </row>
    <row r="135">
      <c r="A135" s="9" t="inlineStr">
        <is>
          <t>TXN-2134</t>
        </is>
      </c>
      <c r="B135" s="9" t="inlineStr">
        <is>
          <t>CUST-215</t>
        </is>
      </c>
      <c r="C135" s="10" t="inlineStr">
        <is>
          <t>Reyansh Shah</t>
        </is>
      </c>
      <c r="D135" s="9" t="inlineStr">
        <is>
          <t>East</t>
        </is>
      </c>
      <c r="E135" s="10" t="inlineStr">
        <is>
          <t>USB-C Hub</t>
        </is>
      </c>
      <c r="F135" s="10" t="inlineStr">
        <is>
          <t>Accessories</t>
        </is>
      </c>
      <c r="G135" s="11" t="n">
        <v>1</v>
      </c>
      <c r="H135" s="12" t="n">
        <v>45</v>
      </c>
      <c r="I135" s="13" t="n">
        <v>0.1</v>
      </c>
      <c r="J135" s="12" t="n">
        <v>40.5</v>
      </c>
      <c r="K135" s="9" t="inlineStr">
        <is>
          <t>2026-08-23</t>
        </is>
      </c>
      <c r="L135" s="9" t="inlineStr">
        <is>
          <t>Completed</t>
        </is>
      </c>
    </row>
    <row r="136">
      <c r="A136" s="9" t="inlineStr">
        <is>
          <t>TXN-2135</t>
        </is>
      </c>
      <c r="B136" s="9" t="inlineStr">
        <is>
          <t>CUST-216</t>
        </is>
      </c>
      <c r="C136" s="10" t="inlineStr">
        <is>
          <t>Neha Kumar</t>
        </is>
      </c>
      <c r="D136" s="9" t="inlineStr">
        <is>
          <t>East</t>
        </is>
      </c>
      <c r="E136" s="10" t="inlineStr">
        <is>
          <t>Noise-Canceling Headphones</t>
        </is>
      </c>
      <c r="F136" s="10" t="inlineStr">
        <is>
          <t>Audio</t>
        </is>
      </c>
      <c r="G136" s="11" t="n">
        <v>1</v>
      </c>
      <c r="H136" s="12" t="n">
        <v>180</v>
      </c>
      <c r="I136" s="13" t="n">
        <v>0</v>
      </c>
      <c r="J136" s="12" t="n">
        <v>180</v>
      </c>
      <c r="K136" s="9" t="inlineStr">
        <is>
          <t>2026-04-27</t>
        </is>
      </c>
      <c r="L136" s="9" t="inlineStr">
        <is>
          <t>Completed</t>
        </is>
      </c>
    </row>
    <row r="137">
      <c r="A137" s="9" t="inlineStr">
        <is>
          <t>TXN-2136</t>
        </is>
      </c>
      <c r="B137" s="9" t="inlineStr">
        <is>
          <t>CUST-217</t>
        </is>
      </c>
      <c r="C137" s="10" t="inlineStr">
        <is>
          <t>Rohan Gupta</t>
        </is>
      </c>
      <c r="D137" s="9" t="inlineStr">
        <is>
          <t>South</t>
        </is>
      </c>
      <c r="E137" s="10" t="inlineStr">
        <is>
          <t>Laptop Pro</t>
        </is>
      </c>
      <c r="F137" s="10" t="inlineStr">
        <is>
          <t>Electronics</t>
        </is>
      </c>
      <c r="G137" s="11" t="n">
        <v>3</v>
      </c>
      <c r="H137" s="12" t="n">
        <v>1200</v>
      </c>
      <c r="I137" s="13" t="n">
        <v>0.05</v>
      </c>
      <c r="J137" s="12" t="n">
        <v>3420</v>
      </c>
      <c r="K137" s="9" t="inlineStr">
        <is>
          <t>2026-03-18</t>
        </is>
      </c>
      <c r="L137" s="9" t="inlineStr">
        <is>
          <t>Completed</t>
        </is>
      </c>
    </row>
    <row r="138">
      <c r="A138" s="9" t="inlineStr">
        <is>
          <t>TXN-2137</t>
        </is>
      </c>
      <c r="B138" s="9" t="inlineStr">
        <is>
          <t>CUST-218</t>
        </is>
      </c>
      <c r="C138" s="10" t="inlineStr">
        <is>
          <t>Diya Iyer</t>
        </is>
      </c>
      <c r="D138" s="9" t="inlineStr">
        <is>
          <t>West</t>
        </is>
      </c>
      <c r="E138" s="10" t="inlineStr">
        <is>
          <t>Ergonomic Keyboard</t>
        </is>
      </c>
      <c r="F138" s="10" t="inlineStr">
        <is>
          <t>Accessories</t>
        </is>
      </c>
      <c r="G138" s="11" t="n">
        <v>4</v>
      </c>
      <c r="H138" s="12" t="n">
        <v>75</v>
      </c>
      <c r="I138" s="13" t="n">
        <v>0</v>
      </c>
      <c r="J138" s="12" t="n">
        <v>300</v>
      </c>
      <c r="K138" s="9" t="inlineStr">
        <is>
          <t>2026-02-19</t>
        </is>
      </c>
      <c r="L138" s="9" t="inlineStr">
        <is>
          <t>Completed</t>
        </is>
      </c>
    </row>
    <row r="139">
      <c r="A139" s="9" t="inlineStr">
        <is>
          <t>TXN-2138</t>
        </is>
      </c>
      <c r="B139" s="9" t="inlineStr">
        <is>
          <t>CUST-219</t>
        </is>
      </c>
      <c r="C139" s="10" t="inlineStr">
        <is>
          <t>Ayaan Kumar</t>
        </is>
      </c>
      <c r="D139" s="9" t="inlineStr">
        <is>
          <t>Central</t>
        </is>
      </c>
      <c r="E139" s="10" t="inlineStr">
        <is>
          <t>USB-C Hub</t>
        </is>
      </c>
      <c r="F139" s="10" t="inlineStr">
        <is>
          <t>Accessories</t>
        </is>
      </c>
      <c r="G139" s="11" t="n">
        <v>1</v>
      </c>
      <c r="H139" s="12" t="n">
        <v>45</v>
      </c>
      <c r="I139" s="13" t="n">
        <v>0</v>
      </c>
      <c r="J139" s="12" t="n">
        <v>45</v>
      </c>
      <c r="K139" s="9" t="inlineStr">
        <is>
          <t>2025-05-08</t>
        </is>
      </c>
      <c r="L139" s="9" t="inlineStr">
        <is>
          <t>Completed</t>
        </is>
      </c>
    </row>
    <row r="140">
      <c r="A140" s="9" t="inlineStr">
        <is>
          <t>TXN-2139</t>
        </is>
      </c>
      <c r="B140" s="9" t="inlineStr">
        <is>
          <t>CUST-220</t>
        </is>
      </c>
      <c r="C140" s="10" t="inlineStr">
        <is>
          <t>Priya Nair</t>
        </is>
      </c>
      <c r="D140" s="9" t="inlineStr">
        <is>
          <t>South</t>
        </is>
      </c>
      <c r="E140" s="10" t="inlineStr">
        <is>
          <t>Noise-Canceling Headphones</t>
        </is>
      </c>
      <c r="F140" s="10" t="inlineStr">
        <is>
          <t>Audio</t>
        </is>
      </c>
      <c r="G140" s="11" t="n">
        <v>1</v>
      </c>
      <c r="H140" s="12" t="n">
        <v>180</v>
      </c>
      <c r="I140" s="13" t="n">
        <v>0.15</v>
      </c>
      <c r="J140" s="12" t="n">
        <v>153</v>
      </c>
      <c r="K140" s="9" t="inlineStr">
        <is>
          <t>2026-02-10</t>
        </is>
      </c>
      <c r="L140" s="9" t="inlineStr">
        <is>
          <t>Shipped</t>
        </is>
      </c>
    </row>
    <row r="141">
      <c r="A141" s="9" t="inlineStr">
        <is>
          <t>TXN-2140</t>
        </is>
      </c>
      <c r="B141" s="9" t="inlineStr">
        <is>
          <t>CUST-221</t>
        </is>
      </c>
      <c r="C141" s="10" t="inlineStr">
        <is>
          <t>Aditya Gupta</t>
        </is>
      </c>
      <c r="D141" s="9" t="inlineStr">
        <is>
          <t>East</t>
        </is>
      </c>
      <c r="E141" s="10" t="inlineStr">
        <is>
          <t>USB-C Hub</t>
        </is>
      </c>
      <c r="F141" s="10" t="inlineStr">
        <is>
          <t>Accessories</t>
        </is>
      </c>
      <c r="G141" s="11" t="n">
        <v>4</v>
      </c>
      <c r="H141" s="12" t="n">
        <v>45</v>
      </c>
      <c r="I141" s="13" t="n">
        <v>0.05</v>
      </c>
      <c r="J141" s="12" t="n">
        <v>171</v>
      </c>
      <c r="K141" s="9" t="inlineStr">
        <is>
          <t>2026-04-05</t>
        </is>
      </c>
      <c r="L141" s="9" t="inlineStr">
        <is>
          <t>Completed</t>
        </is>
      </c>
    </row>
    <row r="142">
      <c r="A142" s="9" t="inlineStr">
        <is>
          <t>TXN-2141</t>
        </is>
      </c>
      <c r="B142" s="9" t="inlineStr">
        <is>
          <t>CUST-222</t>
        </is>
      </c>
      <c r="C142" s="10" t="inlineStr">
        <is>
          <t>Rohan Reddy</t>
        </is>
      </c>
      <c r="D142" s="9" t="inlineStr">
        <is>
          <t>West</t>
        </is>
      </c>
      <c r="E142" s="10" t="inlineStr">
        <is>
          <t>Noise-Canceling Headphones</t>
        </is>
      </c>
      <c r="F142" s="10" t="inlineStr">
        <is>
          <t>Audio</t>
        </is>
      </c>
      <c r="G142" s="11" t="n">
        <v>1</v>
      </c>
      <c r="H142" s="12" t="n">
        <v>180</v>
      </c>
      <c r="I142" s="13" t="n">
        <v>0.05</v>
      </c>
      <c r="J142" s="12" t="n">
        <v>171</v>
      </c>
      <c r="K142" s="9" t="inlineStr">
        <is>
          <t>2026-07-10</t>
        </is>
      </c>
      <c r="L142" s="9" t="inlineStr">
        <is>
          <t>Completed</t>
        </is>
      </c>
    </row>
    <row r="143">
      <c r="A143" s="9" t="inlineStr">
        <is>
          <t>TXN-2142</t>
        </is>
      </c>
      <c r="B143" s="9" t="inlineStr">
        <is>
          <t>CUST-223</t>
        </is>
      </c>
      <c r="C143" s="10" t="inlineStr">
        <is>
          <t>Arjun Kumar</t>
        </is>
      </c>
      <c r="D143" s="9" t="inlineStr">
        <is>
          <t>East</t>
        </is>
      </c>
      <c r="E143" s="10" t="inlineStr">
        <is>
          <t>Wireless Mouse</t>
        </is>
      </c>
      <c r="F143" s="10" t="inlineStr">
        <is>
          <t>Accessories</t>
        </is>
      </c>
      <c r="G143" s="11" t="n">
        <v>1</v>
      </c>
      <c r="H143" s="12" t="n">
        <v>25</v>
      </c>
      <c r="I143" s="13" t="n">
        <v>0.05</v>
      </c>
      <c r="J143" s="12" t="n">
        <v>23.75</v>
      </c>
      <c r="K143" s="9" t="inlineStr">
        <is>
          <t>2025-12-13</t>
        </is>
      </c>
      <c r="L143" s="9" t="inlineStr">
        <is>
          <t>Completed</t>
        </is>
      </c>
    </row>
    <row r="144">
      <c r="A144" s="9" t="inlineStr">
        <is>
          <t>TXN-2143</t>
        </is>
      </c>
      <c r="B144" s="9" t="inlineStr">
        <is>
          <t>CUST-224</t>
        </is>
      </c>
      <c r="C144" s="10" t="inlineStr">
        <is>
          <t>Rahul Reddy</t>
        </is>
      </c>
      <c r="D144" s="9" t="inlineStr">
        <is>
          <t>South</t>
        </is>
      </c>
      <c r="E144" s="10" t="inlineStr">
        <is>
          <t>Noise-Canceling Headphones</t>
        </is>
      </c>
      <c r="F144" s="10" t="inlineStr">
        <is>
          <t>Audio</t>
        </is>
      </c>
      <c r="G144" s="11" t="n">
        <v>1</v>
      </c>
      <c r="H144" s="12" t="n">
        <v>180</v>
      </c>
      <c r="I144" s="13" t="n">
        <v>0</v>
      </c>
      <c r="J144" s="12" t="n">
        <v>180</v>
      </c>
      <c r="K144" s="9" t="inlineStr">
        <is>
          <t>2026-01-11</t>
        </is>
      </c>
      <c r="L144" s="9" t="inlineStr">
        <is>
          <t>Completed</t>
        </is>
      </c>
    </row>
    <row r="145">
      <c r="A145" s="9" t="inlineStr">
        <is>
          <t>TXN-2144</t>
        </is>
      </c>
      <c r="B145" s="9" t="inlineStr">
        <is>
          <t>CUST-225</t>
        </is>
      </c>
      <c r="C145" s="10" t="inlineStr">
        <is>
          <t>Rohan Joshi</t>
        </is>
      </c>
      <c r="D145" s="9" t="inlineStr">
        <is>
          <t>North</t>
        </is>
      </c>
      <c r="E145" s="10" t="inlineStr">
        <is>
          <t>Noise-Canceling Headphones</t>
        </is>
      </c>
      <c r="F145" s="10" t="inlineStr">
        <is>
          <t>Audio</t>
        </is>
      </c>
      <c r="G145" s="11" t="n">
        <v>1</v>
      </c>
      <c r="H145" s="12" t="n">
        <v>180</v>
      </c>
      <c r="I145" s="13" t="n">
        <v>0</v>
      </c>
      <c r="J145" s="12" t="n">
        <v>180</v>
      </c>
      <c r="K145" s="9" t="inlineStr">
        <is>
          <t>2025-06-30</t>
        </is>
      </c>
      <c r="L145" s="9" t="inlineStr">
        <is>
          <t>Completed</t>
        </is>
      </c>
    </row>
    <row r="146">
      <c r="A146" s="9" t="inlineStr">
        <is>
          <t>TXN-2145</t>
        </is>
      </c>
      <c r="B146" s="9" t="inlineStr">
        <is>
          <t>CUST-226</t>
        </is>
      </c>
      <c r="C146" s="10" t="inlineStr">
        <is>
          <t>Amit Verma</t>
        </is>
      </c>
      <c r="D146" s="9" t="inlineStr">
        <is>
          <t>Central</t>
        </is>
      </c>
      <c r="E146" s="10" t="inlineStr">
        <is>
          <t>USB-C Hub</t>
        </is>
      </c>
      <c r="F146" s="10" t="inlineStr">
        <is>
          <t>Accessories</t>
        </is>
      </c>
      <c r="G146" s="11" t="n">
        <v>1</v>
      </c>
      <c r="H146" s="12" t="n">
        <v>45</v>
      </c>
      <c r="I146" s="13" t="n">
        <v>0.05</v>
      </c>
      <c r="J146" s="12" t="n">
        <v>42.75</v>
      </c>
      <c r="K146" s="9" t="inlineStr">
        <is>
          <t>2025-12-22</t>
        </is>
      </c>
      <c r="L146" s="9" t="inlineStr">
        <is>
          <t>Pending</t>
        </is>
      </c>
    </row>
    <row r="147">
      <c r="A147" s="9" t="inlineStr">
        <is>
          <t>TXN-2146</t>
        </is>
      </c>
      <c r="B147" s="9" t="inlineStr">
        <is>
          <t>CUST-227</t>
        </is>
      </c>
      <c r="C147" s="10" t="inlineStr">
        <is>
          <t>Diya Joshi</t>
        </is>
      </c>
      <c r="D147" s="9" t="inlineStr">
        <is>
          <t>North</t>
        </is>
      </c>
      <c r="E147" s="10" t="inlineStr">
        <is>
          <t>USB-C Hub</t>
        </is>
      </c>
      <c r="F147" s="10" t="inlineStr">
        <is>
          <t>Accessories</t>
        </is>
      </c>
      <c r="G147" s="11" t="n">
        <v>2</v>
      </c>
      <c r="H147" s="12" t="n">
        <v>45</v>
      </c>
      <c r="I147" s="13" t="n">
        <v>0</v>
      </c>
      <c r="J147" s="12" t="n">
        <v>90</v>
      </c>
      <c r="K147" s="9" t="inlineStr">
        <is>
          <t>2025-04-11</t>
        </is>
      </c>
      <c r="L147" s="9" t="inlineStr">
        <is>
          <t>Shipped</t>
        </is>
      </c>
    </row>
    <row r="148">
      <c r="A148" s="9" t="inlineStr">
        <is>
          <t>TXN-2147</t>
        </is>
      </c>
      <c r="B148" s="9" t="inlineStr">
        <is>
          <t>CUST-228</t>
        </is>
      </c>
      <c r="C148" s="10" t="inlineStr">
        <is>
          <t>Rohan Iyer</t>
        </is>
      </c>
      <c r="D148" s="9" t="inlineStr">
        <is>
          <t>North</t>
        </is>
      </c>
      <c r="E148" s="10" t="inlineStr">
        <is>
          <t>USB-C Hub</t>
        </is>
      </c>
      <c r="F148" s="10" t="inlineStr">
        <is>
          <t>Accessories</t>
        </is>
      </c>
      <c r="G148" s="11" t="n">
        <v>1</v>
      </c>
      <c r="H148" s="12" t="n">
        <v>45</v>
      </c>
      <c r="I148" s="13" t="n">
        <v>0.1</v>
      </c>
      <c r="J148" s="12" t="n">
        <v>40.5</v>
      </c>
      <c r="K148" s="9" t="inlineStr">
        <is>
          <t>2025-04-22</t>
        </is>
      </c>
      <c r="L148" s="9" t="inlineStr">
        <is>
          <t>Pending</t>
        </is>
      </c>
    </row>
    <row r="149">
      <c r="A149" s="9" t="inlineStr">
        <is>
          <t>TXN-2148</t>
        </is>
      </c>
      <c r="B149" s="9" t="inlineStr">
        <is>
          <t>CUST-229</t>
        </is>
      </c>
      <c r="C149" s="10" t="inlineStr">
        <is>
          <t>Rahul Verma</t>
        </is>
      </c>
      <c r="D149" s="9" t="inlineStr">
        <is>
          <t>South</t>
        </is>
      </c>
      <c r="E149" s="10" t="inlineStr">
        <is>
          <t>USB-C Hub</t>
        </is>
      </c>
      <c r="F149" s="10" t="inlineStr">
        <is>
          <t>Accessories</t>
        </is>
      </c>
      <c r="G149" s="11" t="n">
        <v>1</v>
      </c>
      <c r="H149" s="12" t="n">
        <v>45</v>
      </c>
      <c r="I149" s="13" t="n">
        <v>0</v>
      </c>
      <c r="J149" s="12" t="n">
        <v>45</v>
      </c>
      <c r="K149" s="9" t="inlineStr">
        <is>
          <t>2025-08-06</t>
        </is>
      </c>
      <c r="L149" s="9" t="inlineStr">
        <is>
          <t>Pending</t>
        </is>
      </c>
    </row>
    <row r="150">
      <c r="A150" s="9" t="inlineStr">
        <is>
          <t>TXN-2149</t>
        </is>
      </c>
      <c r="B150" s="9" t="inlineStr">
        <is>
          <t>CUST-230</t>
        </is>
      </c>
      <c r="C150" s="10" t="inlineStr">
        <is>
          <t>Ananya Gupta</t>
        </is>
      </c>
      <c r="D150" s="9" t="inlineStr">
        <is>
          <t>Central</t>
        </is>
      </c>
      <c r="E150" s="10" t="inlineStr">
        <is>
          <t>Laptop Pro</t>
        </is>
      </c>
      <c r="F150" s="10" t="inlineStr">
        <is>
          <t>Electronics</t>
        </is>
      </c>
      <c r="G150" s="11" t="n">
        <v>2</v>
      </c>
      <c r="H150" s="12" t="n">
        <v>1200</v>
      </c>
      <c r="I150" s="13" t="n">
        <v>0</v>
      </c>
      <c r="J150" s="12" t="n">
        <v>2400</v>
      </c>
      <c r="K150" s="9" t="inlineStr">
        <is>
          <t>2026-08-11</t>
        </is>
      </c>
      <c r="L150" s="9" t="inlineStr">
        <is>
          <t>Pending</t>
        </is>
      </c>
    </row>
    <row r="151">
      <c r="A151" s="9" t="inlineStr">
        <is>
          <t>TXN-2150</t>
        </is>
      </c>
      <c r="B151" s="9" t="inlineStr">
        <is>
          <t>CUST-231</t>
        </is>
      </c>
      <c r="C151" s="10" t="inlineStr">
        <is>
          <t>Aditya Mehta</t>
        </is>
      </c>
      <c r="D151" s="9" t="inlineStr">
        <is>
          <t>West</t>
        </is>
      </c>
      <c r="E151" s="10" t="inlineStr">
        <is>
          <t>Ultra HD Monitor</t>
        </is>
      </c>
      <c r="F151" s="10" t="inlineStr">
        <is>
          <t>Electronics</t>
        </is>
      </c>
      <c r="G151" s="11" t="n">
        <v>2</v>
      </c>
      <c r="H151" s="12" t="n">
        <v>350</v>
      </c>
      <c r="I151" s="13" t="n">
        <v>0</v>
      </c>
      <c r="J151" s="12" t="n">
        <v>700</v>
      </c>
      <c r="K151" s="9" t="inlineStr">
        <is>
          <t>2025-05-08</t>
        </is>
      </c>
      <c r="L151" s="9" t="inlineStr">
        <is>
          <t>Completed</t>
        </is>
      </c>
    </row>
    <row r="152">
      <c r="A152" s="9" t="inlineStr">
        <is>
          <t>TXN-2151</t>
        </is>
      </c>
      <c r="B152" s="9" t="inlineStr">
        <is>
          <t>CUST-232</t>
        </is>
      </c>
      <c r="C152" s="10" t="inlineStr">
        <is>
          <t>Ayaan Kumar</t>
        </is>
      </c>
      <c r="D152" s="9" t="inlineStr">
        <is>
          <t>East</t>
        </is>
      </c>
      <c r="E152" s="10" t="inlineStr">
        <is>
          <t>USB-C Hub</t>
        </is>
      </c>
      <c r="F152" s="10" t="inlineStr">
        <is>
          <t>Accessories</t>
        </is>
      </c>
      <c r="G152" s="11" t="n">
        <v>3</v>
      </c>
      <c r="H152" s="12" t="n">
        <v>45</v>
      </c>
      <c r="I152" s="13" t="n">
        <v>0.05</v>
      </c>
      <c r="J152" s="12" t="n">
        <v>128.25</v>
      </c>
      <c r="K152" s="9" t="inlineStr">
        <is>
          <t>2025-07-22</t>
        </is>
      </c>
      <c r="L152" s="9" t="inlineStr">
        <is>
          <t>Completed</t>
        </is>
      </c>
    </row>
    <row r="153">
      <c r="A153" s="9" t="inlineStr">
        <is>
          <t>TXN-2152</t>
        </is>
      </c>
      <c r="B153" s="9" t="inlineStr">
        <is>
          <t>CUST-233</t>
        </is>
      </c>
      <c r="C153" s="10" t="inlineStr">
        <is>
          <t>Neha Verma</t>
        </is>
      </c>
      <c r="D153" s="9" t="inlineStr">
        <is>
          <t>South</t>
        </is>
      </c>
      <c r="E153" s="10" t="inlineStr">
        <is>
          <t>Noise-Canceling Headphones</t>
        </is>
      </c>
      <c r="F153" s="10" t="inlineStr">
        <is>
          <t>Audio</t>
        </is>
      </c>
      <c r="G153" s="11" t="n">
        <v>1</v>
      </c>
      <c r="H153" s="12" t="n">
        <v>180</v>
      </c>
      <c r="I153" s="13" t="n">
        <v>0.05</v>
      </c>
      <c r="J153" s="12" t="n">
        <v>171</v>
      </c>
      <c r="K153" s="9" t="inlineStr">
        <is>
          <t>2025-10-23</t>
        </is>
      </c>
      <c r="L153" s="9" t="inlineStr">
        <is>
          <t>Completed</t>
        </is>
      </c>
    </row>
    <row r="154">
      <c r="A154" s="9" t="inlineStr">
        <is>
          <t>TXN-2153</t>
        </is>
      </c>
      <c r="B154" s="9" t="inlineStr">
        <is>
          <t>CUST-234</t>
        </is>
      </c>
      <c r="C154" s="10" t="inlineStr">
        <is>
          <t>Vihaan Patel</t>
        </is>
      </c>
      <c r="D154" s="9" t="inlineStr">
        <is>
          <t>South</t>
        </is>
      </c>
      <c r="E154" s="10" t="inlineStr">
        <is>
          <t>Smart Tablet</t>
        </is>
      </c>
      <c r="F154" s="10" t="inlineStr">
        <is>
          <t>Electronics</t>
        </is>
      </c>
      <c r="G154" s="11" t="n">
        <v>5</v>
      </c>
      <c r="H154" s="12" t="n">
        <v>450</v>
      </c>
      <c r="I154" s="13" t="n">
        <v>0</v>
      </c>
      <c r="J154" s="12" t="n">
        <v>2250</v>
      </c>
      <c r="K154" s="9" t="inlineStr">
        <is>
          <t>2026-03-01</t>
        </is>
      </c>
      <c r="L154" s="9" t="inlineStr">
        <is>
          <t>Completed</t>
        </is>
      </c>
    </row>
    <row r="155">
      <c r="A155" s="9" t="inlineStr">
        <is>
          <t>TXN-2154</t>
        </is>
      </c>
      <c r="B155" s="9" t="inlineStr">
        <is>
          <t>CUST-235</t>
        </is>
      </c>
      <c r="C155" s="10" t="inlineStr">
        <is>
          <t>Karan Nair</t>
        </is>
      </c>
      <c r="D155" s="9" t="inlineStr">
        <is>
          <t>North</t>
        </is>
      </c>
      <c r="E155" s="10" t="inlineStr">
        <is>
          <t>Ergonomic Keyboard</t>
        </is>
      </c>
      <c r="F155" s="10" t="inlineStr">
        <is>
          <t>Accessories</t>
        </is>
      </c>
      <c r="G155" s="11" t="n">
        <v>2</v>
      </c>
      <c r="H155" s="12" t="n">
        <v>75</v>
      </c>
      <c r="I155" s="13" t="n">
        <v>0.05</v>
      </c>
      <c r="J155" s="12" t="n">
        <v>142.5</v>
      </c>
      <c r="K155" s="9" t="inlineStr">
        <is>
          <t>2025-01-10</t>
        </is>
      </c>
      <c r="L155" s="9" t="inlineStr">
        <is>
          <t>Pending</t>
        </is>
      </c>
    </row>
    <row r="156">
      <c r="A156" s="9" t="inlineStr">
        <is>
          <t>TXN-2155</t>
        </is>
      </c>
      <c r="B156" s="9" t="inlineStr">
        <is>
          <t>CUST-236</t>
        </is>
      </c>
      <c r="C156" s="10" t="inlineStr">
        <is>
          <t>Karan Nair</t>
        </is>
      </c>
      <c r="D156" s="9" t="inlineStr">
        <is>
          <t>North</t>
        </is>
      </c>
      <c r="E156" s="10" t="inlineStr">
        <is>
          <t>Noise-Canceling Headphones</t>
        </is>
      </c>
      <c r="F156" s="10" t="inlineStr">
        <is>
          <t>Audio</t>
        </is>
      </c>
      <c r="G156" s="11" t="n">
        <v>1</v>
      </c>
      <c r="H156" s="12" t="n">
        <v>180</v>
      </c>
      <c r="I156" s="13" t="n">
        <v>0.05</v>
      </c>
      <c r="J156" s="12" t="n">
        <v>171</v>
      </c>
      <c r="K156" s="9" t="inlineStr">
        <is>
          <t>2025-12-30</t>
        </is>
      </c>
      <c r="L156" s="9" t="inlineStr">
        <is>
          <t>Completed</t>
        </is>
      </c>
    </row>
    <row r="157">
      <c r="A157" s="9" t="inlineStr">
        <is>
          <t>TXN-2156</t>
        </is>
      </c>
      <c r="B157" s="9" t="inlineStr">
        <is>
          <t>CUST-237</t>
        </is>
      </c>
      <c r="C157" s="10" t="inlineStr">
        <is>
          <t>Reyansh Verma</t>
        </is>
      </c>
      <c r="D157" s="9" t="inlineStr">
        <is>
          <t>South</t>
        </is>
      </c>
      <c r="E157" s="10" t="inlineStr">
        <is>
          <t>USB-C Hub</t>
        </is>
      </c>
      <c r="F157" s="10" t="inlineStr">
        <is>
          <t>Accessories</t>
        </is>
      </c>
      <c r="G157" s="11" t="n">
        <v>2</v>
      </c>
      <c r="H157" s="12" t="n">
        <v>45</v>
      </c>
      <c r="I157" s="13" t="n">
        <v>0</v>
      </c>
      <c r="J157" s="12" t="n">
        <v>90</v>
      </c>
      <c r="K157" s="9" t="inlineStr">
        <is>
          <t>2025-07-05</t>
        </is>
      </c>
      <c r="L157" s="9" t="inlineStr">
        <is>
          <t>Completed</t>
        </is>
      </c>
    </row>
    <row r="158">
      <c r="A158" s="9" t="inlineStr">
        <is>
          <t>TXN-2157</t>
        </is>
      </c>
      <c r="B158" s="9" t="inlineStr">
        <is>
          <t>CUST-238</t>
        </is>
      </c>
      <c r="C158" s="10" t="inlineStr">
        <is>
          <t>Ayaan Reddy</t>
        </is>
      </c>
      <c r="D158" s="9" t="inlineStr">
        <is>
          <t>Central</t>
        </is>
      </c>
      <c r="E158" s="10" t="inlineStr">
        <is>
          <t>Ultra HD Monitor</t>
        </is>
      </c>
      <c r="F158" s="10" t="inlineStr">
        <is>
          <t>Electronics</t>
        </is>
      </c>
      <c r="G158" s="11" t="n">
        <v>1</v>
      </c>
      <c r="H158" s="12" t="n">
        <v>350</v>
      </c>
      <c r="I158" s="13" t="n">
        <v>0</v>
      </c>
      <c r="J158" s="12" t="n">
        <v>350</v>
      </c>
      <c r="K158" s="9" t="inlineStr">
        <is>
          <t>2026-03-08</t>
        </is>
      </c>
      <c r="L158" s="9" t="inlineStr">
        <is>
          <t>Completed</t>
        </is>
      </c>
    </row>
    <row r="159">
      <c r="A159" s="9" t="inlineStr">
        <is>
          <t>TXN-2158</t>
        </is>
      </c>
      <c r="B159" s="9" t="inlineStr">
        <is>
          <t>CUST-239</t>
        </is>
      </c>
      <c r="C159" s="10" t="inlineStr">
        <is>
          <t>Pooja Verma</t>
        </is>
      </c>
      <c r="D159" s="9" t="inlineStr">
        <is>
          <t>West</t>
        </is>
      </c>
      <c r="E159" s="10" t="inlineStr">
        <is>
          <t>USB-C Hub</t>
        </is>
      </c>
      <c r="F159" s="10" t="inlineStr">
        <is>
          <t>Accessories</t>
        </is>
      </c>
      <c r="G159" s="11" t="n">
        <v>2</v>
      </c>
      <c r="H159" s="12" t="n">
        <v>45</v>
      </c>
      <c r="I159" s="13" t="n">
        <v>0.1</v>
      </c>
      <c r="J159" s="12" t="n">
        <v>81</v>
      </c>
      <c r="K159" s="9" t="inlineStr">
        <is>
          <t>2025-09-21</t>
        </is>
      </c>
      <c r="L159" s="9" t="inlineStr">
        <is>
          <t>Shipped</t>
        </is>
      </c>
    </row>
    <row r="160">
      <c r="A160" s="9" t="inlineStr">
        <is>
          <t>TXN-2159</t>
        </is>
      </c>
      <c r="B160" s="9" t="inlineStr">
        <is>
          <t>CUST-240</t>
        </is>
      </c>
      <c r="C160" s="10" t="inlineStr">
        <is>
          <t>Sneha Kumar</t>
        </is>
      </c>
      <c r="D160" s="9" t="inlineStr">
        <is>
          <t>South</t>
        </is>
      </c>
      <c r="E160" s="10" t="inlineStr">
        <is>
          <t>Laptop Pro</t>
        </is>
      </c>
      <c r="F160" s="10" t="inlineStr">
        <is>
          <t>Electronics</t>
        </is>
      </c>
      <c r="G160" s="11" t="n">
        <v>1</v>
      </c>
      <c r="H160" s="12" t="n">
        <v>1200</v>
      </c>
      <c r="I160" s="13" t="n">
        <v>0.15</v>
      </c>
      <c r="J160" s="12" t="n">
        <v>1020</v>
      </c>
      <c r="K160" s="9" t="inlineStr">
        <is>
          <t>2025-07-05</t>
        </is>
      </c>
      <c r="L160" s="9" t="inlineStr">
        <is>
          <t>Completed</t>
        </is>
      </c>
    </row>
    <row r="161">
      <c r="A161" s="9" t="inlineStr">
        <is>
          <t>TXN-2160</t>
        </is>
      </c>
      <c r="B161" s="9" t="inlineStr">
        <is>
          <t>CUST-241</t>
        </is>
      </c>
      <c r="C161" s="10" t="inlineStr">
        <is>
          <t>Amit Nair</t>
        </is>
      </c>
      <c r="D161" s="9" t="inlineStr">
        <is>
          <t>East</t>
        </is>
      </c>
      <c r="E161" s="10" t="inlineStr">
        <is>
          <t>Ultra HD Monitor</t>
        </is>
      </c>
      <c r="F161" s="10" t="inlineStr">
        <is>
          <t>Electronics</t>
        </is>
      </c>
      <c r="G161" s="11" t="n">
        <v>1</v>
      </c>
      <c r="H161" s="12" t="n">
        <v>350</v>
      </c>
      <c r="I161" s="13" t="n">
        <v>0</v>
      </c>
      <c r="J161" s="12" t="n">
        <v>350</v>
      </c>
      <c r="K161" s="9" t="inlineStr">
        <is>
          <t>2026-08-30</t>
        </is>
      </c>
      <c r="L161" s="9" t="inlineStr">
        <is>
          <t>Completed</t>
        </is>
      </c>
    </row>
    <row r="162">
      <c r="A162" s="9" t="inlineStr">
        <is>
          <t>TXN-2161</t>
        </is>
      </c>
      <c r="B162" s="9" t="inlineStr">
        <is>
          <t>CUST-242</t>
        </is>
      </c>
      <c r="C162" s="10" t="inlineStr">
        <is>
          <t>Karan Verma</t>
        </is>
      </c>
      <c r="D162" s="9" t="inlineStr">
        <is>
          <t>West</t>
        </is>
      </c>
      <c r="E162" s="10" t="inlineStr">
        <is>
          <t>Wireless Mouse</t>
        </is>
      </c>
      <c r="F162" s="10" t="inlineStr">
        <is>
          <t>Accessories</t>
        </is>
      </c>
      <c r="G162" s="11" t="n">
        <v>1</v>
      </c>
      <c r="H162" s="12" t="n">
        <v>25</v>
      </c>
      <c r="I162" s="13" t="n">
        <v>0</v>
      </c>
      <c r="J162" s="12" t="n">
        <v>25</v>
      </c>
      <c r="K162" s="9" t="inlineStr">
        <is>
          <t>2026-05-28</t>
        </is>
      </c>
      <c r="L162" s="9" t="inlineStr">
        <is>
          <t>Completed</t>
        </is>
      </c>
    </row>
    <row r="163">
      <c r="A163" s="9" t="inlineStr">
        <is>
          <t>TXN-2162</t>
        </is>
      </c>
      <c r="B163" s="9" t="inlineStr">
        <is>
          <t>CUST-243</t>
        </is>
      </c>
      <c r="C163" s="10" t="inlineStr">
        <is>
          <t>Ayaan Malhotra</t>
        </is>
      </c>
      <c r="D163" s="9" t="inlineStr">
        <is>
          <t>North</t>
        </is>
      </c>
      <c r="E163" s="10" t="inlineStr">
        <is>
          <t>Ergonomic Keyboard</t>
        </is>
      </c>
      <c r="F163" s="10" t="inlineStr">
        <is>
          <t>Accessories</t>
        </is>
      </c>
      <c r="G163" s="11" t="n">
        <v>1</v>
      </c>
      <c r="H163" s="12" t="n">
        <v>75</v>
      </c>
      <c r="I163" s="13" t="n">
        <v>0</v>
      </c>
      <c r="J163" s="12" t="n">
        <v>75</v>
      </c>
      <c r="K163" s="9" t="inlineStr">
        <is>
          <t>2025-12-06</t>
        </is>
      </c>
      <c r="L163" s="9" t="inlineStr">
        <is>
          <t>Completed</t>
        </is>
      </c>
    </row>
    <row r="164">
      <c r="A164" s="9" t="inlineStr">
        <is>
          <t>TXN-2163</t>
        </is>
      </c>
      <c r="B164" s="9" t="inlineStr">
        <is>
          <t>CUST-244</t>
        </is>
      </c>
      <c r="C164" s="10" t="inlineStr">
        <is>
          <t>Rohan Verma</t>
        </is>
      </c>
      <c r="D164" s="9" t="inlineStr">
        <is>
          <t>North</t>
        </is>
      </c>
      <c r="E164" s="10" t="inlineStr">
        <is>
          <t>USB-C Hub</t>
        </is>
      </c>
      <c r="F164" s="10" t="inlineStr">
        <is>
          <t>Accessories</t>
        </is>
      </c>
      <c r="G164" s="11" t="n">
        <v>2</v>
      </c>
      <c r="H164" s="12" t="n">
        <v>45</v>
      </c>
      <c r="I164" s="13" t="n">
        <v>0</v>
      </c>
      <c r="J164" s="12" t="n">
        <v>90</v>
      </c>
      <c r="K164" s="9" t="inlineStr">
        <is>
          <t>2025-12-14</t>
        </is>
      </c>
      <c r="L164" s="9" t="inlineStr">
        <is>
          <t>Completed</t>
        </is>
      </c>
    </row>
    <row r="165">
      <c r="A165" s="9" t="inlineStr">
        <is>
          <t>TXN-2164</t>
        </is>
      </c>
      <c r="B165" s="9" t="inlineStr">
        <is>
          <t>CUST-245</t>
        </is>
      </c>
      <c r="C165" s="10" t="inlineStr">
        <is>
          <t>Amit Bose</t>
        </is>
      </c>
      <c r="D165" s="9" t="inlineStr">
        <is>
          <t>West</t>
        </is>
      </c>
      <c r="E165" s="10" t="inlineStr">
        <is>
          <t>USB-C Hub</t>
        </is>
      </c>
      <c r="F165" s="10" t="inlineStr">
        <is>
          <t>Accessories</t>
        </is>
      </c>
      <c r="G165" s="11" t="n">
        <v>1</v>
      </c>
      <c r="H165" s="12" t="n">
        <v>45</v>
      </c>
      <c r="I165" s="13" t="n">
        <v>0.1</v>
      </c>
      <c r="J165" s="12" t="n">
        <v>40.5</v>
      </c>
      <c r="K165" s="9" t="inlineStr">
        <is>
          <t>2026-06-08</t>
        </is>
      </c>
      <c r="L165" s="9" t="inlineStr">
        <is>
          <t>Completed</t>
        </is>
      </c>
    </row>
    <row r="166">
      <c r="A166" s="9" t="inlineStr">
        <is>
          <t>TXN-2165</t>
        </is>
      </c>
      <c r="B166" s="9" t="inlineStr">
        <is>
          <t>CUST-246</t>
        </is>
      </c>
      <c r="C166" s="10" t="inlineStr">
        <is>
          <t>Diya Gupta</t>
        </is>
      </c>
      <c r="D166" s="9" t="inlineStr">
        <is>
          <t>Central</t>
        </is>
      </c>
      <c r="E166" s="10" t="inlineStr">
        <is>
          <t>Laptop Pro</t>
        </is>
      </c>
      <c r="F166" s="10" t="inlineStr">
        <is>
          <t>Electronics</t>
        </is>
      </c>
      <c r="G166" s="11" t="n">
        <v>1</v>
      </c>
      <c r="H166" s="12" t="n">
        <v>1200</v>
      </c>
      <c r="I166" s="13" t="n">
        <v>0</v>
      </c>
      <c r="J166" s="12" t="n">
        <v>1200</v>
      </c>
      <c r="K166" s="9" t="inlineStr">
        <is>
          <t>2025-11-27</t>
        </is>
      </c>
      <c r="L166" s="9" t="inlineStr">
        <is>
          <t>Completed</t>
        </is>
      </c>
    </row>
    <row r="167">
      <c r="A167" s="9" t="inlineStr">
        <is>
          <t>TXN-2166</t>
        </is>
      </c>
      <c r="B167" s="9" t="inlineStr">
        <is>
          <t>CUST-247</t>
        </is>
      </c>
      <c r="C167" s="10" t="inlineStr">
        <is>
          <t>Sneha Reddy</t>
        </is>
      </c>
      <c r="D167" s="9" t="inlineStr">
        <is>
          <t>South</t>
        </is>
      </c>
      <c r="E167" s="10" t="inlineStr">
        <is>
          <t>USB-C Hub</t>
        </is>
      </c>
      <c r="F167" s="10" t="inlineStr">
        <is>
          <t>Accessories</t>
        </is>
      </c>
      <c r="G167" s="11" t="n">
        <v>1</v>
      </c>
      <c r="H167" s="12" t="n">
        <v>45</v>
      </c>
      <c r="I167" s="13" t="n">
        <v>0</v>
      </c>
      <c r="J167" s="12" t="n">
        <v>45</v>
      </c>
      <c r="K167" s="9" t="inlineStr">
        <is>
          <t>2025-03-18</t>
        </is>
      </c>
      <c r="L167" s="9" t="inlineStr">
        <is>
          <t>Completed</t>
        </is>
      </c>
    </row>
    <row r="168">
      <c r="A168" s="9" t="inlineStr">
        <is>
          <t>TXN-2167</t>
        </is>
      </c>
      <c r="B168" s="9" t="inlineStr">
        <is>
          <t>CUST-248</t>
        </is>
      </c>
      <c r="C168" s="10" t="inlineStr">
        <is>
          <t>Aditya Mehta</t>
        </is>
      </c>
      <c r="D168" s="9" t="inlineStr">
        <is>
          <t>Central</t>
        </is>
      </c>
      <c r="E168" s="10" t="inlineStr">
        <is>
          <t>Wireless Mouse</t>
        </is>
      </c>
      <c r="F168" s="10" t="inlineStr">
        <is>
          <t>Accessories</t>
        </is>
      </c>
      <c r="G168" s="11" t="n">
        <v>5</v>
      </c>
      <c r="H168" s="12" t="n">
        <v>25</v>
      </c>
      <c r="I168" s="13" t="n">
        <v>0.1</v>
      </c>
      <c r="J168" s="12" t="n">
        <v>112.5</v>
      </c>
      <c r="K168" s="9" t="inlineStr">
        <is>
          <t>2026-04-02</t>
        </is>
      </c>
      <c r="L168" s="9" t="inlineStr">
        <is>
          <t>Shipped</t>
        </is>
      </c>
    </row>
    <row r="169">
      <c r="A169" s="9" t="inlineStr">
        <is>
          <t>TXN-2168</t>
        </is>
      </c>
      <c r="B169" s="9" t="inlineStr">
        <is>
          <t>CUST-249</t>
        </is>
      </c>
      <c r="C169" s="10" t="inlineStr">
        <is>
          <t>Karan Nair</t>
        </is>
      </c>
      <c r="D169" s="9" t="inlineStr">
        <is>
          <t>South</t>
        </is>
      </c>
      <c r="E169" s="10" t="inlineStr">
        <is>
          <t>USB-C Hub</t>
        </is>
      </c>
      <c r="F169" s="10" t="inlineStr">
        <is>
          <t>Accessories</t>
        </is>
      </c>
      <c r="G169" s="11" t="n">
        <v>2</v>
      </c>
      <c r="H169" s="12" t="n">
        <v>45</v>
      </c>
      <c r="I169" s="13" t="n">
        <v>0</v>
      </c>
      <c r="J169" s="12" t="n">
        <v>90</v>
      </c>
      <c r="K169" s="9" t="inlineStr">
        <is>
          <t>2026-03-16</t>
        </is>
      </c>
      <c r="L169" s="9" t="inlineStr">
        <is>
          <t>Shipped</t>
        </is>
      </c>
    </row>
    <row r="170">
      <c r="A170" s="9" t="inlineStr">
        <is>
          <t>TXN-2169</t>
        </is>
      </c>
      <c r="B170" s="9" t="inlineStr">
        <is>
          <t>CUST-250</t>
        </is>
      </c>
      <c r="C170" s="10" t="inlineStr">
        <is>
          <t>Ayaan Nair</t>
        </is>
      </c>
      <c r="D170" s="9" t="inlineStr">
        <is>
          <t>West</t>
        </is>
      </c>
      <c r="E170" s="10" t="inlineStr">
        <is>
          <t>External SSD 1TB</t>
        </is>
      </c>
      <c r="F170" s="10" t="inlineStr">
        <is>
          <t>Storage</t>
        </is>
      </c>
      <c r="G170" s="11" t="n">
        <v>1</v>
      </c>
      <c r="H170" s="12" t="n">
        <v>130</v>
      </c>
      <c r="I170" s="13" t="n">
        <v>0</v>
      </c>
      <c r="J170" s="12" t="n">
        <v>130</v>
      </c>
      <c r="K170" s="9" t="inlineStr">
        <is>
          <t>2026-06-10</t>
        </is>
      </c>
      <c r="L170" s="9" t="inlineStr">
        <is>
          <t>Completed</t>
        </is>
      </c>
    </row>
    <row r="171">
      <c r="A171" s="9" t="inlineStr">
        <is>
          <t>TXN-2170</t>
        </is>
      </c>
      <c r="B171" s="9" t="inlineStr">
        <is>
          <t>CUST-251</t>
        </is>
      </c>
      <c r="C171" s="10" t="inlineStr">
        <is>
          <t>Ayaan Deshmukh</t>
        </is>
      </c>
      <c r="D171" s="9" t="inlineStr">
        <is>
          <t>Central</t>
        </is>
      </c>
      <c r="E171" s="10" t="inlineStr">
        <is>
          <t>Laptop Pro</t>
        </is>
      </c>
      <c r="F171" s="10" t="inlineStr">
        <is>
          <t>Electronics</t>
        </is>
      </c>
      <c r="G171" s="11" t="n">
        <v>1</v>
      </c>
      <c r="H171" s="12" t="n">
        <v>1200</v>
      </c>
      <c r="I171" s="13" t="n">
        <v>0</v>
      </c>
      <c r="J171" s="12" t="n">
        <v>1200</v>
      </c>
      <c r="K171" s="9" t="inlineStr">
        <is>
          <t>2025-05-06</t>
        </is>
      </c>
      <c r="L171" s="9" t="inlineStr">
        <is>
          <t>Completed</t>
        </is>
      </c>
    </row>
    <row r="172">
      <c r="A172" s="9" t="inlineStr">
        <is>
          <t>TXN-2171</t>
        </is>
      </c>
      <c r="B172" s="9" t="inlineStr">
        <is>
          <t>CUST-252</t>
        </is>
      </c>
      <c r="C172" s="10" t="inlineStr">
        <is>
          <t>Amit Nair</t>
        </is>
      </c>
      <c r="D172" s="9" t="inlineStr">
        <is>
          <t>East</t>
        </is>
      </c>
      <c r="E172" s="10" t="inlineStr">
        <is>
          <t>Ergonomic Keyboard</t>
        </is>
      </c>
      <c r="F172" s="10" t="inlineStr">
        <is>
          <t>Accessories</t>
        </is>
      </c>
      <c r="G172" s="11" t="n">
        <v>1</v>
      </c>
      <c r="H172" s="12" t="n">
        <v>75</v>
      </c>
      <c r="I172" s="13" t="n">
        <v>0.1</v>
      </c>
      <c r="J172" s="12" t="n">
        <v>67.5</v>
      </c>
      <c r="K172" s="9" t="inlineStr">
        <is>
          <t>2026-01-10</t>
        </is>
      </c>
      <c r="L172" s="9" t="inlineStr">
        <is>
          <t>Completed</t>
        </is>
      </c>
    </row>
    <row r="173">
      <c r="A173" s="9" t="inlineStr">
        <is>
          <t>TXN-2172</t>
        </is>
      </c>
      <c r="B173" s="9" t="inlineStr">
        <is>
          <t>CUST-253</t>
        </is>
      </c>
      <c r="C173" s="10" t="inlineStr">
        <is>
          <t>Aadhya Deshmukh</t>
        </is>
      </c>
      <c r="D173" s="9" t="inlineStr">
        <is>
          <t>South</t>
        </is>
      </c>
      <c r="E173" s="10" t="inlineStr">
        <is>
          <t>Wireless Mouse</t>
        </is>
      </c>
      <c r="F173" s="10" t="inlineStr">
        <is>
          <t>Accessories</t>
        </is>
      </c>
      <c r="G173" s="11" t="n">
        <v>3</v>
      </c>
      <c r="H173" s="12" t="n">
        <v>25</v>
      </c>
      <c r="I173" s="13" t="n">
        <v>0.05</v>
      </c>
      <c r="J173" s="12" t="n">
        <v>71.25</v>
      </c>
      <c r="K173" s="9" t="inlineStr">
        <is>
          <t>2025-10-25</t>
        </is>
      </c>
      <c r="L173" s="9" t="inlineStr">
        <is>
          <t>Completed</t>
        </is>
      </c>
    </row>
    <row r="174">
      <c r="A174" s="9" t="inlineStr">
        <is>
          <t>TXN-2173</t>
        </is>
      </c>
      <c r="B174" s="9" t="inlineStr">
        <is>
          <t>CUST-254</t>
        </is>
      </c>
      <c r="C174" s="10" t="inlineStr">
        <is>
          <t>Sanya Bose</t>
        </is>
      </c>
      <c r="D174" s="9" t="inlineStr">
        <is>
          <t>Central</t>
        </is>
      </c>
      <c r="E174" s="10" t="inlineStr">
        <is>
          <t>Laptop Pro</t>
        </is>
      </c>
      <c r="F174" s="10" t="inlineStr">
        <is>
          <t>Electronics</t>
        </is>
      </c>
      <c r="G174" s="11" t="n">
        <v>2</v>
      </c>
      <c r="H174" s="12" t="n">
        <v>1200</v>
      </c>
      <c r="I174" s="13" t="n">
        <v>0.1</v>
      </c>
      <c r="J174" s="12" t="n">
        <v>2160</v>
      </c>
      <c r="K174" s="9" t="inlineStr">
        <is>
          <t>2025-07-05</t>
        </is>
      </c>
      <c r="L174" s="9" t="inlineStr">
        <is>
          <t>Completed</t>
        </is>
      </c>
    </row>
    <row r="175">
      <c r="A175" s="9" t="inlineStr">
        <is>
          <t>TXN-2174</t>
        </is>
      </c>
      <c r="B175" s="9" t="inlineStr">
        <is>
          <t>CUST-255</t>
        </is>
      </c>
      <c r="C175" s="10" t="inlineStr">
        <is>
          <t>Aditya Verma</t>
        </is>
      </c>
      <c r="D175" s="9" t="inlineStr">
        <is>
          <t>Central</t>
        </is>
      </c>
      <c r="E175" s="10" t="inlineStr">
        <is>
          <t>Laptop Pro</t>
        </is>
      </c>
      <c r="F175" s="10" t="inlineStr">
        <is>
          <t>Electronics</t>
        </is>
      </c>
      <c r="G175" s="11" t="n">
        <v>1</v>
      </c>
      <c r="H175" s="12" t="n">
        <v>1200</v>
      </c>
      <c r="I175" s="13" t="n">
        <v>0.05</v>
      </c>
      <c r="J175" s="12" t="n">
        <v>1140</v>
      </c>
      <c r="K175" s="9" t="inlineStr">
        <is>
          <t>2026-04-14</t>
        </is>
      </c>
      <c r="L175" s="9" t="inlineStr">
        <is>
          <t>Completed</t>
        </is>
      </c>
    </row>
    <row r="176">
      <c r="A176" s="9" t="inlineStr">
        <is>
          <t>TXN-2175</t>
        </is>
      </c>
      <c r="B176" s="9" t="inlineStr">
        <is>
          <t>CUST-256</t>
        </is>
      </c>
      <c r="C176" s="10" t="inlineStr">
        <is>
          <t>Ayaan Reddy</t>
        </is>
      </c>
      <c r="D176" s="9" t="inlineStr">
        <is>
          <t>East</t>
        </is>
      </c>
      <c r="E176" s="10" t="inlineStr">
        <is>
          <t>External SSD 1TB</t>
        </is>
      </c>
      <c r="F176" s="10" t="inlineStr">
        <is>
          <t>Storage</t>
        </is>
      </c>
      <c r="G176" s="11" t="n">
        <v>1</v>
      </c>
      <c r="H176" s="12" t="n">
        <v>130</v>
      </c>
      <c r="I176" s="13" t="n">
        <v>0</v>
      </c>
      <c r="J176" s="12" t="n">
        <v>130</v>
      </c>
      <c r="K176" s="9" t="inlineStr">
        <is>
          <t>2026-02-23</t>
        </is>
      </c>
      <c r="L176" s="9" t="inlineStr">
        <is>
          <t>Completed</t>
        </is>
      </c>
    </row>
    <row r="177">
      <c r="A177" s="9" t="inlineStr">
        <is>
          <t>TXN-2176</t>
        </is>
      </c>
      <c r="B177" s="9" t="inlineStr">
        <is>
          <t>CUST-257</t>
        </is>
      </c>
      <c r="C177" s="10" t="inlineStr">
        <is>
          <t>Vivaan Gupta</t>
        </is>
      </c>
      <c r="D177" s="9" t="inlineStr">
        <is>
          <t>North</t>
        </is>
      </c>
      <c r="E177" s="10" t="inlineStr">
        <is>
          <t>External SSD 1TB</t>
        </is>
      </c>
      <c r="F177" s="10" t="inlineStr">
        <is>
          <t>Storage</t>
        </is>
      </c>
      <c r="G177" s="11" t="n">
        <v>3</v>
      </c>
      <c r="H177" s="12" t="n">
        <v>130</v>
      </c>
      <c r="I177" s="13" t="n">
        <v>0</v>
      </c>
      <c r="J177" s="12" t="n">
        <v>390</v>
      </c>
      <c r="K177" s="9" t="inlineStr">
        <is>
          <t>2025-06-03</t>
        </is>
      </c>
      <c r="L177" s="9" t="inlineStr">
        <is>
          <t>Completed</t>
        </is>
      </c>
    </row>
    <row r="178">
      <c r="A178" s="9" t="inlineStr">
        <is>
          <t>TXN-2177</t>
        </is>
      </c>
      <c r="B178" s="9" t="inlineStr">
        <is>
          <t>CUST-258</t>
        </is>
      </c>
      <c r="C178" s="10" t="inlineStr">
        <is>
          <t>Rahul Iyer</t>
        </is>
      </c>
      <c r="D178" s="9" t="inlineStr">
        <is>
          <t>Central</t>
        </is>
      </c>
      <c r="E178" s="10" t="inlineStr">
        <is>
          <t>Wireless Mouse</t>
        </is>
      </c>
      <c r="F178" s="10" t="inlineStr">
        <is>
          <t>Accessories</t>
        </is>
      </c>
      <c r="G178" s="11" t="n">
        <v>3</v>
      </c>
      <c r="H178" s="12" t="n">
        <v>25</v>
      </c>
      <c r="I178" s="13" t="n">
        <v>0.15</v>
      </c>
      <c r="J178" s="12" t="n">
        <v>63.75</v>
      </c>
      <c r="K178" s="9" t="inlineStr">
        <is>
          <t>2026-01-30</t>
        </is>
      </c>
      <c r="L178" s="9" t="inlineStr">
        <is>
          <t>Completed</t>
        </is>
      </c>
    </row>
    <row r="179">
      <c r="A179" s="9" t="inlineStr">
        <is>
          <t>TXN-2178</t>
        </is>
      </c>
      <c r="B179" s="9" t="inlineStr">
        <is>
          <t>CUST-259</t>
        </is>
      </c>
      <c r="C179" s="10" t="inlineStr">
        <is>
          <t>Pooja Sharma</t>
        </is>
      </c>
      <c r="D179" s="9" t="inlineStr">
        <is>
          <t>North</t>
        </is>
      </c>
      <c r="E179" s="10" t="inlineStr">
        <is>
          <t>Noise-Canceling Headphones</t>
        </is>
      </c>
      <c r="F179" s="10" t="inlineStr">
        <is>
          <t>Audio</t>
        </is>
      </c>
      <c r="G179" s="11" t="n">
        <v>1</v>
      </c>
      <c r="H179" s="12" t="n">
        <v>180</v>
      </c>
      <c r="I179" s="13" t="n">
        <v>0.1</v>
      </c>
      <c r="J179" s="12" t="n">
        <v>162</v>
      </c>
      <c r="K179" s="9" t="inlineStr">
        <is>
          <t>2025-06-04</t>
        </is>
      </c>
      <c r="L179" s="9" t="inlineStr">
        <is>
          <t>Pending</t>
        </is>
      </c>
    </row>
    <row r="180">
      <c r="A180" s="9" t="inlineStr">
        <is>
          <t>TXN-2179</t>
        </is>
      </c>
      <c r="B180" s="9" t="inlineStr">
        <is>
          <t>CUST-260</t>
        </is>
      </c>
      <c r="C180" s="10" t="inlineStr">
        <is>
          <t>Neha Sharma</t>
        </is>
      </c>
      <c r="D180" s="9" t="inlineStr">
        <is>
          <t>Central</t>
        </is>
      </c>
      <c r="E180" s="10" t="inlineStr">
        <is>
          <t>Wireless Mouse</t>
        </is>
      </c>
      <c r="F180" s="10" t="inlineStr">
        <is>
          <t>Accessories</t>
        </is>
      </c>
      <c r="G180" s="11" t="n">
        <v>4</v>
      </c>
      <c r="H180" s="12" t="n">
        <v>25</v>
      </c>
      <c r="I180" s="13" t="n">
        <v>0</v>
      </c>
      <c r="J180" s="12" t="n">
        <v>100</v>
      </c>
      <c r="K180" s="9" t="inlineStr">
        <is>
          <t>2026-06-07</t>
        </is>
      </c>
      <c r="L180" s="9" t="inlineStr">
        <is>
          <t>Completed</t>
        </is>
      </c>
    </row>
    <row r="181">
      <c r="A181" s="9" t="inlineStr">
        <is>
          <t>TXN-2180</t>
        </is>
      </c>
      <c r="B181" s="9" t="inlineStr">
        <is>
          <t>CUST-201</t>
        </is>
      </c>
      <c r="C181" s="10" t="inlineStr">
        <is>
          <t>Diya Nair</t>
        </is>
      </c>
      <c r="D181" s="9" t="inlineStr">
        <is>
          <t>West</t>
        </is>
      </c>
      <c r="E181" s="10" t="inlineStr">
        <is>
          <t>Smart Tablet</t>
        </is>
      </c>
      <c r="F181" s="10" t="inlineStr">
        <is>
          <t>Electronics</t>
        </is>
      </c>
      <c r="G181" s="11" t="n">
        <v>2</v>
      </c>
      <c r="H181" s="12" t="n">
        <v>450</v>
      </c>
      <c r="I181" s="13" t="n">
        <v>0</v>
      </c>
      <c r="J181" s="12" t="n">
        <v>900</v>
      </c>
      <c r="K181" s="9" t="inlineStr">
        <is>
          <t>2026-02-18</t>
        </is>
      </c>
      <c r="L181" s="9" t="inlineStr">
        <is>
          <t>Pending</t>
        </is>
      </c>
    </row>
    <row r="182">
      <c r="A182" s="9" t="inlineStr">
        <is>
          <t>TXN-2181</t>
        </is>
      </c>
      <c r="B182" s="9" t="inlineStr">
        <is>
          <t>CUST-202</t>
        </is>
      </c>
      <c r="C182" s="10" t="inlineStr">
        <is>
          <t>Ayaan Sharma</t>
        </is>
      </c>
      <c r="D182" s="9" t="inlineStr">
        <is>
          <t>West</t>
        </is>
      </c>
      <c r="E182" s="10" t="inlineStr">
        <is>
          <t>Smart Tablet</t>
        </is>
      </c>
      <c r="F182" s="10" t="inlineStr">
        <is>
          <t>Electronics</t>
        </is>
      </c>
      <c r="G182" s="11" t="n">
        <v>1</v>
      </c>
      <c r="H182" s="12" t="n">
        <v>450</v>
      </c>
      <c r="I182" s="13" t="n">
        <v>0</v>
      </c>
      <c r="J182" s="12" t="n">
        <v>450</v>
      </c>
      <c r="K182" s="9" t="inlineStr">
        <is>
          <t>2026-04-21</t>
        </is>
      </c>
      <c r="L182" s="9" t="inlineStr">
        <is>
          <t>Completed</t>
        </is>
      </c>
    </row>
    <row r="183">
      <c r="A183" s="9" t="inlineStr">
        <is>
          <t>TXN-2182</t>
        </is>
      </c>
      <c r="B183" s="9" t="inlineStr">
        <is>
          <t>CUST-203</t>
        </is>
      </c>
      <c r="C183" s="10" t="inlineStr">
        <is>
          <t>Sai Gupta</t>
        </is>
      </c>
      <c r="D183" s="9" t="inlineStr">
        <is>
          <t>West</t>
        </is>
      </c>
      <c r="E183" s="10" t="inlineStr">
        <is>
          <t>Laptop Pro</t>
        </is>
      </c>
      <c r="F183" s="10" t="inlineStr">
        <is>
          <t>Electronics</t>
        </is>
      </c>
      <c r="G183" s="11" t="n">
        <v>2</v>
      </c>
      <c r="H183" s="12" t="n">
        <v>1200</v>
      </c>
      <c r="I183" s="13" t="n">
        <v>0</v>
      </c>
      <c r="J183" s="12" t="n">
        <v>2400</v>
      </c>
      <c r="K183" s="9" t="inlineStr">
        <is>
          <t>2026-06-05</t>
        </is>
      </c>
      <c r="L183" s="9" t="inlineStr">
        <is>
          <t>Completed</t>
        </is>
      </c>
    </row>
    <row r="184">
      <c r="A184" s="9" t="inlineStr">
        <is>
          <t>TXN-2183</t>
        </is>
      </c>
      <c r="B184" s="9" t="inlineStr">
        <is>
          <t>CUST-204</t>
        </is>
      </c>
      <c r="C184" s="10" t="inlineStr">
        <is>
          <t>Aadhya Nair</t>
        </is>
      </c>
      <c r="D184" s="9" t="inlineStr">
        <is>
          <t>South</t>
        </is>
      </c>
      <c r="E184" s="10" t="inlineStr">
        <is>
          <t>USB-C Hub</t>
        </is>
      </c>
      <c r="F184" s="10" t="inlineStr">
        <is>
          <t>Accessories</t>
        </is>
      </c>
      <c r="G184" s="11" t="n">
        <v>1</v>
      </c>
      <c r="H184" s="12" t="n">
        <v>45</v>
      </c>
      <c r="I184" s="13" t="n">
        <v>0</v>
      </c>
      <c r="J184" s="12" t="n">
        <v>45</v>
      </c>
      <c r="K184" s="9" t="inlineStr">
        <is>
          <t>2025-01-15</t>
        </is>
      </c>
      <c r="L184" s="9" t="inlineStr">
        <is>
          <t>Completed</t>
        </is>
      </c>
    </row>
    <row r="185">
      <c r="A185" s="9" t="inlineStr">
        <is>
          <t>TXN-2184</t>
        </is>
      </c>
      <c r="B185" s="9" t="inlineStr">
        <is>
          <t>CUST-205</t>
        </is>
      </c>
      <c r="C185" s="10" t="inlineStr">
        <is>
          <t>Aditya Mehta</t>
        </is>
      </c>
      <c r="D185" s="9" t="inlineStr">
        <is>
          <t>North</t>
        </is>
      </c>
      <c r="E185" s="10" t="inlineStr">
        <is>
          <t>Ultra HD Monitor</t>
        </is>
      </c>
      <c r="F185" s="10" t="inlineStr">
        <is>
          <t>Electronics</t>
        </is>
      </c>
      <c r="G185" s="11" t="n">
        <v>1</v>
      </c>
      <c r="H185" s="12" t="n">
        <v>350</v>
      </c>
      <c r="I185" s="13" t="n">
        <v>0.1</v>
      </c>
      <c r="J185" s="12" t="n">
        <v>315</v>
      </c>
      <c r="K185" s="9" t="inlineStr">
        <is>
          <t>2025-11-17</t>
        </is>
      </c>
      <c r="L185" s="9" t="inlineStr">
        <is>
          <t>Completed</t>
        </is>
      </c>
    </row>
    <row r="186">
      <c r="A186" s="9" t="inlineStr">
        <is>
          <t>TXN-2185</t>
        </is>
      </c>
      <c r="B186" s="9" t="inlineStr">
        <is>
          <t>CUST-206</t>
        </is>
      </c>
      <c r="C186" s="10" t="inlineStr">
        <is>
          <t>Aditya Iyer</t>
        </is>
      </c>
      <c r="D186" s="9" t="inlineStr">
        <is>
          <t>Central</t>
        </is>
      </c>
      <c r="E186" s="10" t="inlineStr">
        <is>
          <t>Wireless Mouse</t>
        </is>
      </c>
      <c r="F186" s="10" t="inlineStr">
        <is>
          <t>Accessories</t>
        </is>
      </c>
      <c r="G186" s="11" t="n">
        <v>1</v>
      </c>
      <c r="H186" s="12" t="n">
        <v>25</v>
      </c>
      <c r="I186" s="13" t="n">
        <v>0.1</v>
      </c>
      <c r="J186" s="12" t="n">
        <v>22.5</v>
      </c>
      <c r="K186" s="9" t="inlineStr">
        <is>
          <t>2026-07-02</t>
        </is>
      </c>
      <c r="L186" s="9" t="inlineStr">
        <is>
          <t>Shipped</t>
        </is>
      </c>
    </row>
    <row r="187">
      <c r="A187" s="9" t="inlineStr">
        <is>
          <t>TXN-2186</t>
        </is>
      </c>
      <c r="B187" s="9" t="inlineStr">
        <is>
          <t>CUST-207</t>
        </is>
      </c>
      <c r="C187" s="10" t="inlineStr">
        <is>
          <t>Aditya Nair</t>
        </is>
      </c>
      <c r="D187" s="9" t="inlineStr">
        <is>
          <t>South</t>
        </is>
      </c>
      <c r="E187" s="10" t="inlineStr">
        <is>
          <t>Noise-Canceling Headphones</t>
        </is>
      </c>
      <c r="F187" s="10" t="inlineStr">
        <is>
          <t>Audio</t>
        </is>
      </c>
      <c r="G187" s="11" t="n">
        <v>1</v>
      </c>
      <c r="H187" s="12" t="n">
        <v>180</v>
      </c>
      <c r="I187" s="13" t="n">
        <v>0</v>
      </c>
      <c r="J187" s="12" t="n">
        <v>180</v>
      </c>
      <c r="K187" s="9" t="inlineStr">
        <is>
          <t>2026-03-01</t>
        </is>
      </c>
      <c r="L187" s="9" t="inlineStr">
        <is>
          <t>Cancelled</t>
        </is>
      </c>
    </row>
    <row r="188">
      <c r="A188" s="9" t="inlineStr">
        <is>
          <t>TXN-2187</t>
        </is>
      </c>
      <c r="B188" s="9" t="inlineStr">
        <is>
          <t>CUST-208</t>
        </is>
      </c>
      <c r="C188" s="10" t="inlineStr">
        <is>
          <t>Sanya Singh</t>
        </is>
      </c>
      <c r="D188" s="9" t="inlineStr">
        <is>
          <t>West</t>
        </is>
      </c>
      <c r="E188" s="10" t="inlineStr">
        <is>
          <t>Ergonomic Keyboard</t>
        </is>
      </c>
      <c r="F188" s="10" t="inlineStr">
        <is>
          <t>Accessories</t>
        </is>
      </c>
      <c r="G188" s="11" t="n">
        <v>2</v>
      </c>
      <c r="H188" s="12" t="n">
        <v>75</v>
      </c>
      <c r="I188" s="13" t="n">
        <v>0.15</v>
      </c>
      <c r="J188" s="12" t="n">
        <v>127.5</v>
      </c>
      <c r="K188" s="9" t="inlineStr">
        <is>
          <t>2025-05-11</t>
        </is>
      </c>
      <c r="L188" s="9" t="inlineStr">
        <is>
          <t>Completed</t>
        </is>
      </c>
    </row>
    <row r="189">
      <c r="A189" s="9" t="inlineStr">
        <is>
          <t>TXN-2188</t>
        </is>
      </c>
      <c r="B189" s="9" t="inlineStr">
        <is>
          <t>CUST-209</t>
        </is>
      </c>
      <c r="C189" s="10" t="inlineStr">
        <is>
          <t>Sanya Sharma</t>
        </is>
      </c>
      <c r="D189" s="9" t="inlineStr">
        <is>
          <t>East</t>
        </is>
      </c>
      <c r="E189" s="10" t="inlineStr">
        <is>
          <t>USB-C Hub</t>
        </is>
      </c>
      <c r="F189" s="10" t="inlineStr">
        <is>
          <t>Accessories</t>
        </is>
      </c>
      <c r="G189" s="11" t="n">
        <v>4</v>
      </c>
      <c r="H189" s="12" t="n">
        <v>45</v>
      </c>
      <c r="I189" s="13" t="n">
        <v>0.05</v>
      </c>
      <c r="J189" s="12" t="n">
        <v>171</v>
      </c>
      <c r="K189" s="9" t="inlineStr">
        <is>
          <t>2025-02-26</t>
        </is>
      </c>
      <c r="L189" s="9" t="inlineStr">
        <is>
          <t>Shipped</t>
        </is>
      </c>
    </row>
    <row r="190">
      <c r="A190" s="9" t="inlineStr">
        <is>
          <t>TXN-2189</t>
        </is>
      </c>
      <c r="B190" s="9" t="inlineStr">
        <is>
          <t>CUST-210</t>
        </is>
      </c>
      <c r="C190" s="10" t="inlineStr">
        <is>
          <t>Amit Sharma</t>
        </is>
      </c>
      <c r="D190" s="9" t="inlineStr">
        <is>
          <t>East</t>
        </is>
      </c>
      <c r="E190" s="10" t="inlineStr">
        <is>
          <t>Noise-Canceling Headphones</t>
        </is>
      </c>
      <c r="F190" s="10" t="inlineStr">
        <is>
          <t>Audio</t>
        </is>
      </c>
      <c r="G190" s="11" t="n">
        <v>1</v>
      </c>
      <c r="H190" s="12" t="n">
        <v>180</v>
      </c>
      <c r="I190" s="13" t="n">
        <v>0.05</v>
      </c>
      <c r="J190" s="12" t="n">
        <v>171</v>
      </c>
      <c r="K190" s="9" t="inlineStr">
        <is>
          <t>2026-01-05</t>
        </is>
      </c>
      <c r="L190" s="9" t="inlineStr">
        <is>
          <t>Completed</t>
        </is>
      </c>
    </row>
    <row r="191">
      <c r="A191" s="9" t="inlineStr">
        <is>
          <t>TXN-2190</t>
        </is>
      </c>
      <c r="B191" s="9" t="inlineStr">
        <is>
          <t>CUST-211</t>
        </is>
      </c>
      <c r="C191" s="10" t="inlineStr">
        <is>
          <t>Priya Joshi</t>
        </is>
      </c>
      <c r="D191" s="9" t="inlineStr">
        <is>
          <t>West</t>
        </is>
      </c>
      <c r="E191" s="10" t="inlineStr">
        <is>
          <t>Ultra HD Monitor</t>
        </is>
      </c>
      <c r="F191" s="10" t="inlineStr">
        <is>
          <t>Electronics</t>
        </is>
      </c>
      <c r="G191" s="11" t="n">
        <v>3</v>
      </c>
      <c r="H191" s="12" t="n">
        <v>350</v>
      </c>
      <c r="I191" s="13" t="n">
        <v>0.05</v>
      </c>
      <c r="J191" s="12" t="n">
        <v>997.5</v>
      </c>
      <c r="K191" s="9" t="inlineStr">
        <is>
          <t>2025-11-18</t>
        </is>
      </c>
      <c r="L191" s="9" t="inlineStr">
        <is>
          <t>Completed</t>
        </is>
      </c>
    </row>
    <row r="192">
      <c r="A192" s="9" t="inlineStr">
        <is>
          <t>TXN-2191</t>
        </is>
      </c>
      <c r="B192" s="9" t="inlineStr">
        <is>
          <t>CUST-212</t>
        </is>
      </c>
      <c r="C192" s="10" t="inlineStr">
        <is>
          <t>Aarav Verma</t>
        </is>
      </c>
      <c r="D192" s="9" t="inlineStr">
        <is>
          <t>East</t>
        </is>
      </c>
      <c r="E192" s="10" t="inlineStr">
        <is>
          <t>Smart Tablet</t>
        </is>
      </c>
      <c r="F192" s="10" t="inlineStr">
        <is>
          <t>Electronics</t>
        </is>
      </c>
      <c r="G192" s="11" t="n">
        <v>1</v>
      </c>
      <c r="H192" s="12" t="n">
        <v>450</v>
      </c>
      <c r="I192" s="13" t="n">
        <v>0.05</v>
      </c>
      <c r="J192" s="12" t="n">
        <v>427.5</v>
      </c>
      <c r="K192" s="9" t="inlineStr">
        <is>
          <t>2026-05-03</t>
        </is>
      </c>
      <c r="L192" s="9" t="inlineStr">
        <is>
          <t>Pending</t>
        </is>
      </c>
    </row>
    <row r="193">
      <c r="A193" s="9" t="inlineStr">
        <is>
          <t>TXN-2192</t>
        </is>
      </c>
      <c r="B193" s="9" t="inlineStr">
        <is>
          <t>CUST-213</t>
        </is>
      </c>
      <c r="C193" s="10" t="inlineStr">
        <is>
          <t>Vihaan Reddy</t>
        </is>
      </c>
      <c r="D193" s="9" t="inlineStr">
        <is>
          <t>East</t>
        </is>
      </c>
      <c r="E193" s="10" t="inlineStr">
        <is>
          <t>Ultra HD Monitor</t>
        </is>
      </c>
      <c r="F193" s="10" t="inlineStr">
        <is>
          <t>Electronics</t>
        </is>
      </c>
      <c r="G193" s="11" t="n">
        <v>2</v>
      </c>
      <c r="H193" s="12" t="n">
        <v>350</v>
      </c>
      <c r="I193" s="13" t="n">
        <v>0.1</v>
      </c>
      <c r="J193" s="12" t="n">
        <v>630</v>
      </c>
      <c r="K193" s="9" t="inlineStr">
        <is>
          <t>2026-08-24</t>
        </is>
      </c>
      <c r="L193" s="9" t="inlineStr">
        <is>
          <t>Completed</t>
        </is>
      </c>
    </row>
    <row r="194">
      <c r="A194" s="9" t="inlineStr">
        <is>
          <t>TXN-2193</t>
        </is>
      </c>
      <c r="B194" s="9" t="inlineStr">
        <is>
          <t>CUST-214</t>
        </is>
      </c>
      <c r="C194" s="10" t="inlineStr">
        <is>
          <t>Diya Nair</t>
        </is>
      </c>
      <c r="D194" s="9" t="inlineStr">
        <is>
          <t>East</t>
        </is>
      </c>
      <c r="E194" s="10" t="inlineStr">
        <is>
          <t>Wireless Mouse</t>
        </is>
      </c>
      <c r="F194" s="10" t="inlineStr">
        <is>
          <t>Accessories</t>
        </is>
      </c>
      <c r="G194" s="11" t="n">
        <v>1</v>
      </c>
      <c r="H194" s="12" t="n">
        <v>25</v>
      </c>
      <c r="I194" s="13" t="n">
        <v>0</v>
      </c>
      <c r="J194" s="12" t="n">
        <v>25</v>
      </c>
      <c r="K194" s="9" t="inlineStr">
        <is>
          <t>2025-04-12</t>
        </is>
      </c>
      <c r="L194" s="9" t="inlineStr">
        <is>
          <t>Completed</t>
        </is>
      </c>
    </row>
    <row r="195">
      <c r="A195" s="9" t="inlineStr">
        <is>
          <t>TXN-2194</t>
        </is>
      </c>
      <c r="B195" s="9" t="inlineStr">
        <is>
          <t>CUST-215</t>
        </is>
      </c>
      <c r="C195" s="10" t="inlineStr">
        <is>
          <t>Aditya Deshmukh</t>
        </is>
      </c>
      <c r="D195" s="9" t="inlineStr">
        <is>
          <t>East</t>
        </is>
      </c>
      <c r="E195" s="10" t="inlineStr">
        <is>
          <t>Smart Tablet</t>
        </is>
      </c>
      <c r="F195" s="10" t="inlineStr">
        <is>
          <t>Electronics</t>
        </is>
      </c>
      <c r="G195" s="11" t="n">
        <v>1</v>
      </c>
      <c r="H195" s="12" t="n">
        <v>450</v>
      </c>
      <c r="I195" s="13" t="n">
        <v>0</v>
      </c>
      <c r="J195" s="12" t="n">
        <v>450</v>
      </c>
      <c r="K195" s="9" t="inlineStr">
        <is>
          <t>2026-04-07</t>
        </is>
      </c>
      <c r="L195" s="9" t="inlineStr">
        <is>
          <t>Shipped</t>
        </is>
      </c>
    </row>
    <row r="196">
      <c r="A196" s="9" t="inlineStr">
        <is>
          <t>TXN-2195</t>
        </is>
      </c>
      <c r="B196" s="9" t="inlineStr">
        <is>
          <t>CUST-216</t>
        </is>
      </c>
      <c r="C196" s="10" t="inlineStr">
        <is>
          <t>Aditya Singh</t>
        </is>
      </c>
      <c r="D196" s="9" t="inlineStr">
        <is>
          <t>East</t>
        </is>
      </c>
      <c r="E196" s="10" t="inlineStr">
        <is>
          <t>External SSD 1TB</t>
        </is>
      </c>
      <c r="F196" s="10" t="inlineStr">
        <is>
          <t>Storage</t>
        </is>
      </c>
      <c r="G196" s="11" t="n">
        <v>2</v>
      </c>
      <c r="H196" s="12" t="n">
        <v>130</v>
      </c>
      <c r="I196" s="13" t="n">
        <v>0</v>
      </c>
      <c r="J196" s="12" t="n">
        <v>260</v>
      </c>
      <c r="K196" s="9" t="inlineStr">
        <is>
          <t>2025-08-05</t>
        </is>
      </c>
      <c r="L196" s="9" t="inlineStr">
        <is>
          <t>Completed</t>
        </is>
      </c>
    </row>
    <row r="197">
      <c r="A197" s="9" t="inlineStr">
        <is>
          <t>TXN-2196</t>
        </is>
      </c>
      <c r="B197" s="9" t="inlineStr">
        <is>
          <t>CUST-217</t>
        </is>
      </c>
      <c r="C197" s="10" t="inlineStr">
        <is>
          <t>Rohan Shah</t>
        </is>
      </c>
      <c r="D197" s="9" t="inlineStr">
        <is>
          <t>North</t>
        </is>
      </c>
      <c r="E197" s="10" t="inlineStr">
        <is>
          <t>Laptop Pro</t>
        </is>
      </c>
      <c r="F197" s="10" t="inlineStr">
        <is>
          <t>Electronics</t>
        </is>
      </c>
      <c r="G197" s="11" t="n">
        <v>2</v>
      </c>
      <c r="H197" s="12" t="n">
        <v>1200</v>
      </c>
      <c r="I197" s="13" t="n">
        <v>0.05</v>
      </c>
      <c r="J197" s="12" t="n">
        <v>2280</v>
      </c>
      <c r="K197" s="9" t="inlineStr">
        <is>
          <t>2026-01-08</t>
        </is>
      </c>
      <c r="L197" s="9" t="inlineStr">
        <is>
          <t>Pending</t>
        </is>
      </c>
    </row>
    <row r="198">
      <c r="A198" s="9" t="inlineStr">
        <is>
          <t>TXN-2197</t>
        </is>
      </c>
      <c r="B198" s="9" t="inlineStr">
        <is>
          <t>CUST-218</t>
        </is>
      </c>
      <c r="C198" s="10" t="inlineStr">
        <is>
          <t>Sanya Gupta</t>
        </is>
      </c>
      <c r="D198" s="9" t="inlineStr">
        <is>
          <t>South</t>
        </is>
      </c>
      <c r="E198" s="10" t="inlineStr">
        <is>
          <t>External SSD 1TB</t>
        </is>
      </c>
      <c r="F198" s="10" t="inlineStr">
        <is>
          <t>Storage</t>
        </is>
      </c>
      <c r="G198" s="11" t="n">
        <v>1</v>
      </c>
      <c r="H198" s="12" t="n">
        <v>130</v>
      </c>
      <c r="I198" s="13" t="n">
        <v>0</v>
      </c>
      <c r="J198" s="12" t="n">
        <v>130</v>
      </c>
      <c r="K198" s="9" t="inlineStr">
        <is>
          <t>2026-06-19</t>
        </is>
      </c>
      <c r="L198" s="9" t="inlineStr">
        <is>
          <t>Completed</t>
        </is>
      </c>
    </row>
    <row r="199">
      <c r="A199" s="9" t="inlineStr">
        <is>
          <t>TXN-2198</t>
        </is>
      </c>
      <c r="B199" s="9" t="inlineStr">
        <is>
          <t>CUST-219</t>
        </is>
      </c>
      <c r="C199" s="10" t="inlineStr">
        <is>
          <t>Rohan Gupta</t>
        </is>
      </c>
      <c r="D199" s="9" t="inlineStr">
        <is>
          <t>North</t>
        </is>
      </c>
      <c r="E199" s="10" t="inlineStr">
        <is>
          <t>Noise-Canceling Headphones</t>
        </is>
      </c>
      <c r="F199" s="10" t="inlineStr">
        <is>
          <t>Audio</t>
        </is>
      </c>
      <c r="G199" s="11" t="n">
        <v>2</v>
      </c>
      <c r="H199" s="12" t="n">
        <v>180</v>
      </c>
      <c r="I199" s="13" t="n">
        <v>0</v>
      </c>
      <c r="J199" s="12" t="n">
        <v>360</v>
      </c>
      <c r="K199" s="9" t="inlineStr">
        <is>
          <t>2025-04-05</t>
        </is>
      </c>
      <c r="L199" s="9" t="inlineStr">
        <is>
          <t>Completed</t>
        </is>
      </c>
    </row>
    <row r="200">
      <c r="A200" s="9" t="inlineStr">
        <is>
          <t>TXN-2199</t>
        </is>
      </c>
      <c r="B200" s="9" t="inlineStr">
        <is>
          <t>CUST-220</t>
        </is>
      </c>
      <c r="C200" s="10" t="inlineStr">
        <is>
          <t>Aditya Nair</t>
        </is>
      </c>
      <c r="D200" s="9" t="inlineStr">
        <is>
          <t>East</t>
        </is>
      </c>
      <c r="E200" s="10" t="inlineStr">
        <is>
          <t>Ultra HD Monitor</t>
        </is>
      </c>
      <c r="F200" s="10" t="inlineStr">
        <is>
          <t>Electronics</t>
        </is>
      </c>
      <c r="G200" s="11" t="n">
        <v>2</v>
      </c>
      <c r="H200" s="12" t="n">
        <v>350</v>
      </c>
      <c r="I200" s="13" t="n">
        <v>0</v>
      </c>
      <c r="J200" s="12" t="n">
        <v>700</v>
      </c>
      <c r="K200" s="9" t="inlineStr">
        <is>
          <t>2025-10-06</t>
        </is>
      </c>
      <c r="L200" s="9" t="inlineStr">
        <is>
          <t>Completed</t>
        </is>
      </c>
    </row>
    <row r="201">
      <c r="A201" s="9" t="inlineStr">
        <is>
          <t>TXN-2200</t>
        </is>
      </c>
      <c r="B201" s="9" t="inlineStr">
        <is>
          <t>CUST-221</t>
        </is>
      </c>
      <c r="C201" s="10" t="inlineStr">
        <is>
          <t>Ananya Deshmukh</t>
        </is>
      </c>
      <c r="D201" s="9" t="inlineStr">
        <is>
          <t>West</t>
        </is>
      </c>
      <c r="E201" s="10" t="inlineStr">
        <is>
          <t>Laptop Pro</t>
        </is>
      </c>
      <c r="F201" s="10" t="inlineStr">
        <is>
          <t>Electronics</t>
        </is>
      </c>
      <c r="G201" s="11" t="n">
        <v>1</v>
      </c>
      <c r="H201" s="12" t="n">
        <v>1200</v>
      </c>
      <c r="I201" s="13" t="n">
        <v>0</v>
      </c>
      <c r="J201" s="12" t="n">
        <v>1200</v>
      </c>
      <c r="K201" s="9" t="inlineStr">
        <is>
          <t>2025-04-15</t>
        </is>
      </c>
      <c r="L201" s="9" t="inlineStr">
        <is>
          <t>Completed</t>
        </is>
      </c>
    </row>
    <row r="202">
      <c r="A202" s="9" t="inlineStr">
        <is>
          <t>TXN-2201</t>
        </is>
      </c>
      <c r="B202" s="9" t="inlineStr">
        <is>
          <t>CUST-222</t>
        </is>
      </c>
      <c r="C202" s="10" t="inlineStr">
        <is>
          <t>Rahul Malhotra</t>
        </is>
      </c>
      <c r="D202" s="9" t="inlineStr">
        <is>
          <t>Central</t>
        </is>
      </c>
      <c r="E202" s="10" t="inlineStr">
        <is>
          <t>Ergonomic Keyboard</t>
        </is>
      </c>
      <c r="F202" s="10" t="inlineStr">
        <is>
          <t>Accessories</t>
        </is>
      </c>
      <c r="G202" s="11" t="n">
        <v>5</v>
      </c>
      <c r="H202" s="12" t="n">
        <v>75</v>
      </c>
      <c r="I202" s="13" t="n">
        <v>0</v>
      </c>
      <c r="J202" s="12" t="n">
        <v>375</v>
      </c>
      <c r="K202" s="9" t="inlineStr">
        <is>
          <t>2026-02-05</t>
        </is>
      </c>
      <c r="L202" s="9" t="inlineStr">
        <is>
          <t>Completed</t>
        </is>
      </c>
    </row>
    <row r="203">
      <c r="A203" s="9" t="inlineStr">
        <is>
          <t>TXN-2202</t>
        </is>
      </c>
      <c r="B203" s="9" t="inlineStr">
        <is>
          <t>CUST-223</t>
        </is>
      </c>
      <c r="C203" s="10" t="inlineStr">
        <is>
          <t>Reyansh Verma</t>
        </is>
      </c>
      <c r="D203" s="9" t="inlineStr">
        <is>
          <t>North</t>
        </is>
      </c>
      <c r="E203" s="10" t="inlineStr">
        <is>
          <t>Ultra HD Monitor</t>
        </is>
      </c>
      <c r="F203" s="10" t="inlineStr">
        <is>
          <t>Electronics</t>
        </is>
      </c>
      <c r="G203" s="11" t="n">
        <v>2</v>
      </c>
      <c r="H203" s="12" t="n">
        <v>350</v>
      </c>
      <c r="I203" s="13" t="n">
        <v>0.05</v>
      </c>
      <c r="J203" s="12" t="n">
        <v>665</v>
      </c>
      <c r="K203" s="9" t="inlineStr">
        <is>
          <t>2025-05-27</t>
        </is>
      </c>
      <c r="L203" s="9" t="inlineStr">
        <is>
          <t>Pending</t>
        </is>
      </c>
    </row>
    <row r="204">
      <c r="A204" s="9" t="inlineStr">
        <is>
          <t>TXN-2203</t>
        </is>
      </c>
      <c r="B204" s="9" t="inlineStr">
        <is>
          <t>CUST-224</t>
        </is>
      </c>
      <c r="C204" s="10" t="inlineStr">
        <is>
          <t>Aadhya Malhotra</t>
        </is>
      </c>
      <c r="D204" s="9" t="inlineStr">
        <is>
          <t>West</t>
        </is>
      </c>
      <c r="E204" s="10" t="inlineStr">
        <is>
          <t>Wireless Mouse</t>
        </is>
      </c>
      <c r="F204" s="10" t="inlineStr">
        <is>
          <t>Accessories</t>
        </is>
      </c>
      <c r="G204" s="11" t="n">
        <v>2</v>
      </c>
      <c r="H204" s="12" t="n">
        <v>25</v>
      </c>
      <c r="I204" s="13" t="n">
        <v>0</v>
      </c>
      <c r="J204" s="12" t="n">
        <v>50</v>
      </c>
      <c r="K204" s="9" t="inlineStr">
        <is>
          <t>2026-07-23</t>
        </is>
      </c>
      <c r="L204" s="9" t="inlineStr">
        <is>
          <t>Completed</t>
        </is>
      </c>
    </row>
    <row r="205">
      <c r="A205" s="9" t="inlineStr">
        <is>
          <t>TXN-2204</t>
        </is>
      </c>
      <c r="B205" s="9" t="inlineStr">
        <is>
          <t>CUST-225</t>
        </is>
      </c>
      <c r="C205" s="10" t="inlineStr">
        <is>
          <t>Vihaan Deshmukh</t>
        </is>
      </c>
      <c r="D205" s="9" t="inlineStr">
        <is>
          <t>East</t>
        </is>
      </c>
      <c r="E205" s="10" t="inlineStr">
        <is>
          <t>Ergonomic Keyboard</t>
        </is>
      </c>
      <c r="F205" s="10" t="inlineStr">
        <is>
          <t>Accessories</t>
        </is>
      </c>
      <c r="G205" s="11" t="n">
        <v>1</v>
      </c>
      <c r="H205" s="12" t="n">
        <v>75</v>
      </c>
      <c r="I205" s="13" t="n">
        <v>0</v>
      </c>
      <c r="J205" s="12" t="n">
        <v>75</v>
      </c>
      <c r="K205" s="9" t="inlineStr">
        <is>
          <t>2025-09-22</t>
        </is>
      </c>
      <c r="L205" s="9" t="inlineStr">
        <is>
          <t>Pending</t>
        </is>
      </c>
    </row>
    <row r="206">
      <c r="A206" s="9" t="inlineStr">
        <is>
          <t>TXN-2205</t>
        </is>
      </c>
      <c r="B206" s="9" t="inlineStr">
        <is>
          <t>CUST-226</t>
        </is>
      </c>
      <c r="C206" s="10" t="inlineStr">
        <is>
          <t>Diya Patel</t>
        </is>
      </c>
      <c r="D206" s="9" t="inlineStr">
        <is>
          <t>East</t>
        </is>
      </c>
      <c r="E206" s="10" t="inlineStr">
        <is>
          <t>Laptop Pro</t>
        </is>
      </c>
      <c r="F206" s="10" t="inlineStr">
        <is>
          <t>Electronics</t>
        </is>
      </c>
      <c r="G206" s="11" t="n">
        <v>3</v>
      </c>
      <c r="H206" s="12" t="n">
        <v>1200</v>
      </c>
      <c r="I206" s="13" t="n">
        <v>0</v>
      </c>
      <c r="J206" s="12" t="n">
        <v>3600</v>
      </c>
      <c r="K206" s="9" t="inlineStr">
        <is>
          <t>2026-06-23</t>
        </is>
      </c>
      <c r="L206" s="9" t="inlineStr">
        <is>
          <t>Completed</t>
        </is>
      </c>
    </row>
    <row r="207">
      <c r="A207" s="9" t="inlineStr">
        <is>
          <t>TXN-2206</t>
        </is>
      </c>
      <c r="B207" s="9" t="inlineStr">
        <is>
          <t>CUST-227</t>
        </is>
      </c>
      <c r="C207" s="10" t="inlineStr">
        <is>
          <t>Aarav Shah</t>
        </is>
      </c>
      <c r="D207" s="9" t="inlineStr">
        <is>
          <t>West</t>
        </is>
      </c>
      <c r="E207" s="10" t="inlineStr">
        <is>
          <t>Wireless Mouse</t>
        </is>
      </c>
      <c r="F207" s="10" t="inlineStr">
        <is>
          <t>Accessories</t>
        </is>
      </c>
      <c r="G207" s="11" t="n">
        <v>2</v>
      </c>
      <c r="H207" s="12" t="n">
        <v>25</v>
      </c>
      <c r="I207" s="13" t="n">
        <v>0.1</v>
      </c>
      <c r="J207" s="12" t="n">
        <v>45</v>
      </c>
      <c r="K207" s="9" t="inlineStr">
        <is>
          <t>2025-08-30</t>
        </is>
      </c>
      <c r="L207" s="9" t="inlineStr">
        <is>
          <t>Completed</t>
        </is>
      </c>
    </row>
    <row r="208">
      <c r="A208" s="9" t="inlineStr">
        <is>
          <t>TXN-2207</t>
        </is>
      </c>
      <c r="B208" s="9" t="inlineStr">
        <is>
          <t>CUST-228</t>
        </is>
      </c>
      <c r="C208" s="10" t="inlineStr">
        <is>
          <t>Diya Shah</t>
        </is>
      </c>
      <c r="D208" s="9" t="inlineStr">
        <is>
          <t>West</t>
        </is>
      </c>
      <c r="E208" s="10" t="inlineStr">
        <is>
          <t>USB-C Hub</t>
        </is>
      </c>
      <c r="F208" s="10" t="inlineStr">
        <is>
          <t>Accessories</t>
        </is>
      </c>
      <c r="G208" s="11" t="n">
        <v>1</v>
      </c>
      <c r="H208" s="12" t="n">
        <v>45</v>
      </c>
      <c r="I208" s="13" t="n">
        <v>0.1</v>
      </c>
      <c r="J208" s="12" t="n">
        <v>40.5</v>
      </c>
      <c r="K208" s="9" t="inlineStr">
        <is>
          <t>2026-07-07</t>
        </is>
      </c>
      <c r="L208" s="9" t="inlineStr">
        <is>
          <t>Completed</t>
        </is>
      </c>
    </row>
    <row r="209">
      <c r="A209" s="9" t="inlineStr">
        <is>
          <t>TXN-2208</t>
        </is>
      </c>
      <c r="B209" s="9" t="inlineStr">
        <is>
          <t>CUST-229</t>
        </is>
      </c>
      <c r="C209" s="10" t="inlineStr">
        <is>
          <t>Rohan Shah</t>
        </is>
      </c>
      <c r="D209" s="9" t="inlineStr">
        <is>
          <t>South</t>
        </is>
      </c>
      <c r="E209" s="10" t="inlineStr">
        <is>
          <t>Noise-Canceling Headphones</t>
        </is>
      </c>
      <c r="F209" s="10" t="inlineStr">
        <is>
          <t>Audio</t>
        </is>
      </c>
      <c r="G209" s="11" t="n">
        <v>2</v>
      </c>
      <c r="H209" s="12" t="n">
        <v>180</v>
      </c>
      <c r="I209" s="13" t="n">
        <v>0.05</v>
      </c>
      <c r="J209" s="12" t="n">
        <v>342</v>
      </c>
      <c r="K209" s="9" t="inlineStr">
        <is>
          <t>2026-08-27</t>
        </is>
      </c>
      <c r="L209" s="9" t="inlineStr">
        <is>
          <t>Completed</t>
        </is>
      </c>
    </row>
    <row r="210">
      <c r="A210" s="9" t="inlineStr">
        <is>
          <t>TXN-2209</t>
        </is>
      </c>
      <c r="B210" s="9" t="inlineStr">
        <is>
          <t>CUST-230</t>
        </is>
      </c>
      <c r="C210" s="10" t="inlineStr">
        <is>
          <t>Sai Deshmukh</t>
        </is>
      </c>
      <c r="D210" s="9" t="inlineStr">
        <is>
          <t>Central</t>
        </is>
      </c>
      <c r="E210" s="10" t="inlineStr">
        <is>
          <t>Ergonomic Keyboard</t>
        </is>
      </c>
      <c r="F210" s="10" t="inlineStr">
        <is>
          <t>Accessories</t>
        </is>
      </c>
      <c r="G210" s="11" t="n">
        <v>1</v>
      </c>
      <c r="H210" s="12" t="n">
        <v>75</v>
      </c>
      <c r="I210" s="13" t="n">
        <v>0</v>
      </c>
      <c r="J210" s="12" t="n">
        <v>75</v>
      </c>
      <c r="K210" s="9" t="inlineStr">
        <is>
          <t>2025-02-16</t>
        </is>
      </c>
      <c r="L210" s="9" t="inlineStr">
        <is>
          <t>Cancelled</t>
        </is>
      </c>
    </row>
    <row r="211">
      <c r="A211" s="9" t="inlineStr">
        <is>
          <t>TXN-2210</t>
        </is>
      </c>
      <c r="B211" s="9" t="inlineStr">
        <is>
          <t>CUST-231</t>
        </is>
      </c>
      <c r="C211" s="10" t="inlineStr">
        <is>
          <t>Priya Bose</t>
        </is>
      </c>
      <c r="D211" s="9" t="inlineStr">
        <is>
          <t>South</t>
        </is>
      </c>
      <c r="E211" s="10" t="inlineStr">
        <is>
          <t>Ultra HD Monitor</t>
        </is>
      </c>
      <c r="F211" s="10" t="inlineStr">
        <is>
          <t>Electronics</t>
        </is>
      </c>
      <c r="G211" s="11" t="n">
        <v>2</v>
      </c>
      <c r="H211" s="12" t="n">
        <v>350</v>
      </c>
      <c r="I211" s="13" t="n">
        <v>0</v>
      </c>
      <c r="J211" s="12" t="n">
        <v>700</v>
      </c>
      <c r="K211" s="9" t="inlineStr">
        <is>
          <t>2025-01-24</t>
        </is>
      </c>
      <c r="L211" s="9" t="inlineStr">
        <is>
          <t>Completed</t>
        </is>
      </c>
    </row>
    <row r="212">
      <c r="A212" s="9" t="inlineStr">
        <is>
          <t>TXN-2211</t>
        </is>
      </c>
      <c r="B212" s="9" t="inlineStr">
        <is>
          <t>CUST-232</t>
        </is>
      </c>
      <c r="C212" s="10" t="inlineStr">
        <is>
          <t>Reyansh Mehta</t>
        </is>
      </c>
      <c r="D212" s="9" t="inlineStr">
        <is>
          <t>South</t>
        </is>
      </c>
      <c r="E212" s="10" t="inlineStr">
        <is>
          <t>Ergonomic Keyboard</t>
        </is>
      </c>
      <c r="F212" s="10" t="inlineStr">
        <is>
          <t>Accessories</t>
        </is>
      </c>
      <c r="G212" s="11" t="n">
        <v>2</v>
      </c>
      <c r="H212" s="12" t="n">
        <v>75</v>
      </c>
      <c r="I212" s="13" t="n">
        <v>0</v>
      </c>
      <c r="J212" s="12" t="n">
        <v>150</v>
      </c>
      <c r="K212" s="9" t="inlineStr">
        <is>
          <t>2025-12-23</t>
        </is>
      </c>
      <c r="L212" s="9" t="inlineStr">
        <is>
          <t>Completed</t>
        </is>
      </c>
    </row>
    <row r="213">
      <c r="A213" s="9" t="inlineStr">
        <is>
          <t>TXN-2212</t>
        </is>
      </c>
      <c r="B213" s="9" t="inlineStr">
        <is>
          <t>CUST-233</t>
        </is>
      </c>
      <c r="C213" s="10" t="inlineStr">
        <is>
          <t>Sanya Kumar</t>
        </is>
      </c>
      <c r="D213" s="9" t="inlineStr">
        <is>
          <t>South</t>
        </is>
      </c>
      <c r="E213" s="10" t="inlineStr">
        <is>
          <t>Ultra HD Monitor</t>
        </is>
      </c>
      <c r="F213" s="10" t="inlineStr">
        <is>
          <t>Electronics</t>
        </is>
      </c>
      <c r="G213" s="11" t="n">
        <v>2</v>
      </c>
      <c r="H213" s="12" t="n">
        <v>350</v>
      </c>
      <c r="I213" s="13" t="n">
        <v>0</v>
      </c>
      <c r="J213" s="12" t="n">
        <v>700</v>
      </c>
      <c r="K213" s="9" t="inlineStr">
        <is>
          <t>2025-08-07</t>
        </is>
      </c>
      <c r="L213" s="9" t="inlineStr">
        <is>
          <t>Shipped</t>
        </is>
      </c>
    </row>
    <row r="214">
      <c r="A214" s="9" t="inlineStr">
        <is>
          <t>TXN-2213</t>
        </is>
      </c>
      <c r="B214" s="9" t="inlineStr">
        <is>
          <t>CUST-234</t>
        </is>
      </c>
      <c r="C214" s="10" t="inlineStr">
        <is>
          <t>Priya Deshmukh</t>
        </is>
      </c>
      <c r="D214" s="9" t="inlineStr">
        <is>
          <t>Central</t>
        </is>
      </c>
      <c r="E214" s="10" t="inlineStr">
        <is>
          <t>Noise-Canceling Headphones</t>
        </is>
      </c>
      <c r="F214" s="10" t="inlineStr">
        <is>
          <t>Audio</t>
        </is>
      </c>
      <c r="G214" s="11" t="n">
        <v>1</v>
      </c>
      <c r="H214" s="12" t="n">
        <v>180</v>
      </c>
      <c r="I214" s="13" t="n">
        <v>0</v>
      </c>
      <c r="J214" s="12" t="n">
        <v>180</v>
      </c>
      <c r="K214" s="9" t="inlineStr">
        <is>
          <t>2026-02-03</t>
        </is>
      </c>
      <c r="L214" s="9" t="inlineStr">
        <is>
          <t>Completed</t>
        </is>
      </c>
    </row>
    <row r="215">
      <c r="A215" s="9" t="inlineStr">
        <is>
          <t>TXN-2214</t>
        </is>
      </c>
      <c r="B215" s="9" t="inlineStr">
        <is>
          <t>CUST-235</t>
        </is>
      </c>
      <c r="C215" s="10" t="inlineStr">
        <is>
          <t>Sai Joshi</t>
        </is>
      </c>
      <c r="D215" s="9" t="inlineStr">
        <is>
          <t>South</t>
        </is>
      </c>
      <c r="E215" s="10" t="inlineStr">
        <is>
          <t>Noise-Canceling Headphones</t>
        </is>
      </c>
      <c r="F215" s="10" t="inlineStr">
        <is>
          <t>Audio</t>
        </is>
      </c>
      <c r="G215" s="11" t="n">
        <v>3</v>
      </c>
      <c r="H215" s="12" t="n">
        <v>180</v>
      </c>
      <c r="I215" s="13" t="n">
        <v>0</v>
      </c>
      <c r="J215" s="12" t="n">
        <v>540</v>
      </c>
      <c r="K215" s="9" t="inlineStr">
        <is>
          <t>2025-04-01</t>
        </is>
      </c>
      <c r="L215" s="9" t="inlineStr">
        <is>
          <t>Shipped</t>
        </is>
      </c>
    </row>
    <row r="216">
      <c r="A216" s="9" t="inlineStr">
        <is>
          <t>TXN-2215</t>
        </is>
      </c>
      <c r="B216" s="9" t="inlineStr">
        <is>
          <t>CUST-236</t>
        </is>
      </c>
      <c r="C216" s="10" t="inlineStr">
        <is>
          <t>Ananya Bose</t>
        </is>
      </c>
      <c r="D216" s="9" t="inlineStr">
        <is>
          <t>West</t>
        </is>
      </c>
      <c r="E216" s="10" t="inlineStr">
        <is>
          <t>Laptop Pro</t>
        </is>
      </c>
      <c r="F216" s="10" t="inlineStr">
        <is>
          <t>Electronics</t>
        </is>
      </c>
      <c r="G216" s="11" t="n">
        <v>2</v>
      </c>
      <c r="H216" s="12" t="n">
        <v>1200</v>
      </c>
      <c r="I216" s="13" t="n">
        <v>0.05</v>
      </c>
      <c r="J216" s="12" t="n">
        <v>2280</v>
      </c>
      <c r="K216" s="9" t="inlineStr">
        <is>
          <t>2026-02-27</t>
        </is>
      </c>
      <c r="L216" s="9" t="inlineStr">
        <is>
          <t>Pending</t>
        </is>
      </c>
    </row>
    <row r="217">
      <c r="A217" s="9" t="inlineStr">
        <is>
          <t>TXN-2216</t>
        </is>
      </c>
      <c r="B217" s="9" t="inlineStr">
        <is>
          <t>CUST-237</t>
        </is>
      </c>
      <c r="C217" s="10" t="inlineStr">
        <is>
          <t>Vihaan Sharma</t>
        </is>
      </c>
      <c r="D217" s="9" t="inlineStr">
        <is>
          <t>Central</t>
        </is>
      </c>
      <c r="E217" s="10" t="inlineStr">
        <is>
          <t>Noise-Canceling Headphones</t>
        </is>
      </c>
      <c r="F217" s="10" t="inlineStr">
        <is>
          <t>Audio</t>
        </is>
      </c>
      <c r="G217" s="11" t="n">
        <v>4</v>
      </c>
      <c r="H217" s="12" t="n">
        <v>180</v>
      </c>
      <c r="I217" s="13" t="n">
        <v>0</v>
      </c>
      <c r="J217" s="12" t="n">
        <v>720</v>
      </c>
      <c r="K217" s="9" t="inlineStr">
        <is>
          <t>2025-10-25</t>
        </is>
      </c>
      <c r="L217" s="9" t="inlineStr">
        <is>
          <t>Completed</t>
        </is>
      </c>
    </row>
    <row r="218">
      <c r="A218" s="9" t="inlineStr">
        <is>
          <t>TXN-2217</t>
        </is>
      </c>
      <c r="B218" s="9" t="inlineStr">
        <is>
          <t>CUST-238</t>
        </is>
      </c>
      <c r="C218" s="10" t="inlineStr">
        <is>
          <t>Sneha Deshmukh</t>
        </is>
      </c>
      <c r="D218" s="9" t="inlineStr">
        <is>
          <t>West</t>
        </is>
      </c>
      <c r="E218" s="10" t="inlineStr">
        <is>
          <t>Ultra HD Monitor</t>
        </is>
      </c>
      <c r="F218" s="10" t="inlineStr">
        <is>
          <t>Electronics</t>
        </is>
      </c>
      <c r="G218" s="11" t="n">
        <v>2</v>
      </c>
      <c r="H218" s="12" t="n">
        <v>350</v>
      </c>
      <c r="I218" s="13" t="n">
        <v>0.1</v>
      </c>
      <c r="J218" s="12" t="n">
        <v>630</v>
      </c>
      <c r="K218" s="9" t="inlineStr">
        <is>
          <t>2025-07-19</t>
        </is>
      </c>
      <c r="L218" s="9" t="inlineStr">
        <is>
          <t>Completed</t>
        </is>
      </c>
    </row>
    <row r="219">
      <c r="A219" s="9" t="inlineStr">
        <is>
          <t>TXN-2218</t>
        </is>
      </c>
      <c r="B219" s="9" t="inlineStr">
        <is>
          <t>CUST-239</t>
        </is>
      </c>
      <c r="C219" s="10" t="inlineStr">
        <is>
          <t>Sneha Sharma</t>
        </is>
      </c>
      <c r="D219" s="9" t="inlineStr">
        <is>
          <t>North</t>
        </is>
      </c>
      <c r="E219" s="10" t="inlineStr">
        <is>
          <t>Ergonomic Keyboard</t>
        </is>
      </c>
      <c r="F219" s="10" t="inlineStr">
        <is>
          <t>Accessories</t>
        </is>
      </c>
      <c r="G219" s="11" t="n">
        <v>2</v>
      </c>
      <c r="H219" s="12" t="n">
        <v>75</v>
      </c>
      <c r="I219" s="13" t="n">
        <v>0.05</v>
      </c>
      <c r="J219" s="12" t="n">
        <v>142.5</v>
      </c>
      <c r="K219" s="9" t="inlineStr">
        <is>
          <t>2026-02-06</t>
        </is>
      </c>
      <c r="L219" s="9" t="inlineStr">
        <is>
          <t>Completed</t>
        </is>
      </c>
    </row>
    <row r="220">
      <c r="A220" s="9" t="inlineStr">
        <is>
          <t>TXN-2219</t>
        </is>
      </c>
      <c r="B220" s="9" t="inlineStr">
        <is>
          <t>CUST-240</t>
        </is>
      </c>
      <c r="C220" s="10" t="inlineStr">
        <is>
          <t>Aditya Sharma</t>
        </is>
      </c>
      <c r="D220" s="9" t="inlineStr">
        <is>
          <t>West</t>
        </is>
      </c>
      <c r="E220" s="10" t="inlineStr">
        <is>
          <t>Noise-Canceling Headphones</t>
        </is>
      </c>
      <c r="F220" s="10" t="inlineStr">
        <is>
          <t>Audio</t>
        </is>
      </c>
      <c r="G220" s="11" t="n">
        <v>1</v>
      </c>
      <c r="H220" s="12" t="n">
        <v>180</v>
      </c>
      <c r="I220" s="13" t="n">
        <v>0</v>
      </c>
      <c r="J220" s="12" t="n">
        <v>180</v>
      </c>
      <c r="K220" s="9" t="inlineStr">
        <is>
          <t>2025-06-07</t>
        </is>
      </c>
      <c r="L220" s="9" t="inlineStr">
        <is>
          <t>Pending</t>
        </is>
      </c>
    </row>
    <row r="221">
      <c r="A221" s="9" t="inlineStr">
        <is>
          <t>TXN-2220</t>
        </is>
      </c>
      <c r="B221" s="9" t="inlineStr">
        <is>
          <t>CUST-241</t>
        </is>
      </c>
      <c r="C221" s="10" t="inlineStr">
        <is>
          <t>Neha Mehta</t>
        </is>
      </c>
      <c r="D221" s="9" t="inlineStr">
        <is>
          <t>South</t>
        </is>
      </c>
      <c r="E221" s="10" t="inlineStr">
        <is>
          <t>External SSD 1TB</t>
        </is>
      </c>
      <c r="F221" s="10" t="inlineStr">
        <is>
          <t>Storage</t>
        </is>
      </c>
      <c r="G221" s="11" t="n">
        <v>4</v>
      </c>
      <c r="H221" s="12" t="n">
        <v>130</v>
      </c>
      <c r="I221" s="13" t="n">
        <v>0</v>
      </c>
      <c r="J221" s="12" t="n">
        <v>520</v>
      </c>
      <c r="K221" s="9" t="inlineStr">
        <is>
          <t>2025-03-26</t>
        </is>
      </c>
      <c r="L221" s="9" t="inlineStr">
        <is>
          <t>Shipped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52" customWidth="1" min="2" max="2"/>
    <col width="88" customWidth="1" min="3" max="3"/>
    <col width="88" customWidth="1" min="4" max="4"/>
    <col width="26" customWidth="1" min="5" max="5"/>
  </cols>
  <sheetData>
    <row r="1">
      <c r="A1" s="14" t="inlineStr">
        <is>
          <t>DATA INTELLIGENCE - PIVOT TABLES &amp; SUMMARY REPORTS</t>
        </is>
      </c>
    </row>
    <row r="2"/>
    <row r="3">
      <c r="A3" s="15" t="inlineStr">
        <is>
          <t>Pivot Table 1: Regional Performance &amp; Sales Summary</t>
        </is>
      </c>
    </row>
    <row r="4">
      <c r="A4" s="16" t="inlineStr">
        <is>
          <t>Region</t>
        </is>
      </c>
      <c r="B4" s="16" t="inlineStr">
        <is>
          <t>Transaction Count</t>
        </is>
      </c>
      <c r="C4" s="16" t="inlineStr">
        <is>
          <t>Total Quantity</t>
        </is>
      </c>
      <c r="D4" s="16" t="inlineStr">
        <is>
          <t>Total Revenue ($)</t>
        </is>
      </c>
      <c r="E4" s="16" t="inlineStr">
        <is>
          <t>Average Order Value ($)</t>
        </is>
      </c>
    </row>
    <row r="5">
      <c r="A5" s="9" t="inlineStr">
        <is>
          <t>Central</t>
        </is>
      </c>
      <c r="B5" s="17">
        <f>COUNTIF('Final Project Dataset'!$D$2:$D$221, A5)</f>
        <v/>
      </c>
      <c r="C5" s="17">
        <f>SUMIF('Final Project Dataset'!$D$2:$D$221, A5, 'Final Project Dataset'!$G$2:$G$221)</f>
        <v/>
      </c>
      <c r="D5" s="18">
        <f>SUMIF('Final Project Dataset'!$D$2:$D$221, A5, 'Final Project Dataset'!$J$2:$J$221)</f>
        <v/>
      </c>
      <c r="E5" s="18">
        <f>D5/B5</f>
        <v/>
      </c>
    </row>
    <row r="6">
      <c r="A6" s="9" t="inlineStr">
        <is>
          <t>East</t>
        </is>
      </c>
      <c r="B6" s="17">
        <f>COUNTIF('Final Project Dataset'!$D$2:$D$221, A6)</f>
        <v/>
      </c>
      <c r="C6" s="17">
        <f>SUMIF('Final Project Dataset'!$D$2:$D$221, A6, 'Final Project Dataset'!$G$2:$G$221)</f>
        <v/>
      </c>
      <c r="D6" s="18">
        <f>SUMIF('Final Project Dataset'!$D$2:$D$221, A6, 'Final Project Dataset'!$J$2:$J$221)</f>
        <v/>
      </c>
      <c r="E6" s="18">
        <f>D6/B6</f>
        <v/>
      </c>
    </row>
    <row r="7">
      <c r="A7" s="9" t="inlineStr">
        <is>
          <t>North</t>
        </is>
      </c>
      <c r="B7" s="17">
        <f>COUNTIF('Final Project Dataset'!$D$2:$D$221, A7)</f>
        <v/>
      </c>
      <c r="C7" s="17">
        <f>SUMIF('Final Project Dataset'!$D$2:$D$221, A7, 'Final Project Dataset'!$G$2:$G$221)</f>
        <v/>
      </c>
      <c r="D7" s="18">
        <f>SUMIF('Final Project Dataset'!$D$2:$D$221, A7, 'Final Project Dataset'!$J$2:$J$221)</f>
        <v/>
      </c>
      <c r="E7" s="18">
        <f>D7/B7</f>
        <v/>
      </c>
    </row>
    <row r="8">
      <c r="A8" s="9" t="inlineStr">
        <is>
          <t>South</t>
        </is>
      </c>
      <c r="B8" s="17">
        <f>COUNTIF('Final Project Dataset'!$D$2:$D$221, A8)</f>
        <v/>
      </c>
      <c r="C8" s="17">
        <f>SUMIF('Final Project Dataset'!$D$2:$D$221, A8, 'Final Project Dataset'!$G$2:$G$221)</f>
        <v/>
      </c>
      <c r="D8" s="18">
        <f>SUMIF('Final Project Dataset'!$D$2:$D$221, A8, 'Final Project Dataset'!$J$2:$J$221)</f>
        <v/>
      </c>
      <c r="E8" s="18">
        <f>D8/B8</f>
        <v/>
      </c>
    </row>
    <row r="9">
      <c r="A9" s="9" t="inlineStr">
        <is>
          <t>West</t>
        </is>
      </c>
      <c r="B9" s="17">
        <f>COUNTIF('Final Project Dataset'!$D$2:$D$221, A9)</f>
        <v/>
      </c>
      <c r="C9" s="17">
        <f>SUMIF('Final Project Dataset'!$D$2:$D$221, A9, 'Final Project Dataset'!$G$2:$G$221)</f>
        <v/>
      </c>
      <c r="D9" s="18">
        <f>SUMIF('Final Project Dataset'!$D$2:$D$221, A9, 'Final Project Dataset'!$J$2:$J$221)</f>
        <v/>
      </c>
      <c r="E9" s="18">
        <f>D9/B9</f>
        <v/>
      </c>
    </row>
    <row r="10">
      <c r="A10" s="19" t="inlineStr">
        <is>
          <t>Grand Total</t>
        </is>
      </c>
      <c r="B10" s="20">
        <f>SUM(B5:B9)</f>
        <v/>
      </c>
      <c r="C10" s="20">
        <f>SUM(C5:C9)</f>
        <v/>
      </c>
      <c r="D10" s="21">
        <f>SUM(D5:D9)</f>
        <v/>
      </c>
      <c r="E10" s="21">
        <f>AVERAGE(E5:E9)</f>
        <v/>
      </c>
    </row>
    <row r="11"/>
    <row r="12">
      <c r="A12" s="15" t="inlineStr">
        <is>
          <t>Pivot Table 2: Product Category Performance</t>
        </is>
      </c>
    </row>
    <row r="13">
      <c r="A13" s="16" t="inlineStr">
        <is>
          <t>Product Name</t>
        </is>
      </c>
      <c r="B13" s="16" t="inlineStr">
        <is>
          <t>Category</t>
        </is>
      </c>
      <c r="C13" s="16" t="inlineStr">
        <is>
          <t>Units Sold</t>
        </is>
      </c>
      <c r="D13" s="16" t="inlineStr">
        <is>
          <t>Total Revenue ($)</t>
        </is>
      </c>
      <c r="E13" s="16" t="inlineStr">
        <is>
          <t>Revenue Share %</t>
        </is>
      </c>
    </row>
    <row r="14">
      <c r="A14" s="22" t="inlineStr">
        <is>
          <t>Ergonomic Keyboard</t>
        </is>
      </c>
      <c r="B14" s="9" t="inlineStr">
        <is>
          <t>Accessories</t>
        </is>
      </c>
      <c r="C14" s="17">
        <f>SUMIF('Final Project Dataset'!$E$2:$E$221, A14, 'Final Project Dataset'!$G$2:$G$221)</f>
        <v/>
      </c>
      <c r="D14" s="18">
        <f>SUMIF('Final Project Dataset'!$E$2:$E$221, A14, 'Final Project Dataset'!$J$2:$J$221)</f>
        <v/>
      </c>
      <c r="E14" s="23">
        <f>D14/D10</f>
        <v/>
      </c>
    </row>
    <row r="15">
      <c r="A15" s="22" t="inlineStr">
        <is>
          <t>External SSD 1TB</t>
        </is>
      </c>
      <c r="B15" s="9" t="inlineStr">
        <is>
          <t>Storage</t>
        </is>
      </c>
      <c r="C15" s="17">
        <f>SUMIF('Final Project Dataset'!$E$2:$E$221, A15, 'Final Project Dataset'!$G$2:$G$221)</f>
        <v/>
      </c>
      <c r="D15" s="18">
        <f>SUMIF('Final Project Dataset'!$E$2:$E$221, A15, 'Final Project Dataset'!$J$2:$J$221)</f>
        <v/>
      </c>
      <c r="E15" s="23">
        <f>D15/D10</f>
        <v/>
      </c>
    </row>
    <row r="16">
      <c r="A16" s="22" t="inlineStr">
        <is>
          <t>Laptop Pro</t>
        </is>
      </c>
      <c r="B16" s="9" t="inlineStr">
        <is>
          <t>Electronics</t>
        </is>
      </c>
      <c r="C16" s="17">
        <f>SUMIF('Final Project Dataset'!$E$2:$E$221, A16, 'Final Project Dataset'!$G$2:$G$221)</f>
        <v/>
      </c>
      <c r="D16" s="18">
        <f>SUMIF('Final Project Dataset'!$E$2:$E$221, A16, 'Final Project Dataset'!$J$2:$J$221)</f>
        <v/>
      </c>
      <c r="E16" s="23">
        <f>D16/D10</f>
        <v/>
      </c>
    </row>
    <row r="17">
      <c r="A17" s="22" t="inlineStr">
        <is>
          <t>Noise-Canceling Headphones</t>
        </is>
      </c>
      <c r="B17" s="9" t="inlineStr">
        <is>
          <t>Audio</t>
        </is>
      </c>
      <c r="C17" s="17">
        <f>SUMIF('Final Project Dataset'!$E$2:$E$221, A17, 'Final Project Dataset'!$G$2:$G$221)</f>
        <v/>
      </c>
      <c r="D17" s="18">
        <f>SUMIF('Final Project Dataset'!$E$2:$E$221, A17, 'Final Project Dataset'!$J$2:$J$221)</f>
        <v/>
      </c>
      <c r="E17" s="23">
        <f>D17/D10</f>
        <v/>
      </c>
    </row>
    <row r="18">
      <c r="A18" s="22" t="inlineStr">
        <is>
          <t>Smart Tablet</t>
        </is>
      </c>
      <c r="B18" s="9" t="inlineStr">
        <is>
          <t>Electronics</t>
        </is>
      </c>
      <c r="C18" s="17">
        <f>SUMIF('Final Project Dataset'!$E$2:$E$221, A18, 'Final Project Dataset'!$G$2:$G$221)</f>
        <v/>
      </c>
      <c r="D18" s="18">
        <f>SUMIF('Final Project Dataset'!$E$2:$E$221, A18, 'Final Project Dataset'!$J$2:$J$221)</f>
        <v/>
      </c>
      <c r="E18" s="23">
        <f>D18/D10</f>
        <v/>
      </c>
    </row>
    <row r="19">
      <c r="A19" s="22" t="inlineStr">
        <is>
          <t>USB-C Hub</t>
        </is>
      </c>
      <c r="B19" s="9" t="inlineStr">
        <is>
          <t>Accessories</t>
        </is>
      </c>
      <c r="C19" s="17">
        <f>SUMIF('Final Project Dataset'!$E$2:$E$221, A19, 'Final Project Dataset'!$G$2:$G$221)</f>
        <v/>
      </c>
      <c r="D19" s="18">
        <f>SUMIF('Final Project Dataset'!$E$2:$E$221, A19, 'Final Project Dataset'!$J$2:$J$221)</f>
        <v/>
      </c>
      <c r="E19" s="23">
        <f>D19/D10</f>
        <v/>
      </c>
    </row>
    <row r="20">
      <c r="A20" s="22" t="inlineStr">
        <is>
          <t>Ultra HD Monitor</t>
        </is>
      </c>
      <c r="B20" s="9" t="inlineStr">
        <is>
          <t>Electronics</t>
        </is>
      </c>
      <c r="C20" s="17">
        <f>SUMIF('Final Project Dataset'!$E$2:$E$221, A20, 'Final Project Dataset'!$G$2:$G$221)</f>
        <v/>
      </c>
      <c r="D20" s="18">
        <f>SUMIF('Final Project Dataset'!$E$2:$E$221, A20, 'Final Project Dataset'!$J$2:$J$221)</f>
        <v/>
      </c>
      <c r="E20" s="23">
        <f>D20/D10</f>
        <v/>
      </c>
    </row>
    <row r="21">
      <c r="A21" s="22" t="inlineStr">
        <is>
          <t>Wireless Mouse</t>
        </is>
      </c>
      <c r="B21" s="9" t="inlineStr">
        <is>
          <t>Accessories</t>
        </is>
      </c>
      <c r="C21" s="17">
        <f>SUMIF('Final Project Dataset'!$E$2:$E$221, A21, 'Final Project Dataset'!$G$2:$G$221)</f>
        <v/>
      </c>
      <c r="D21" s="18">
        <f>SUMIF('Final Project Dataset'!$E$2:$E$221, A21, 'Final Project Dataset'!$J$2:$J$221)</f>
        <v/>
      </c>
      <c r="E21" s="23">
        <f>D21/D10</f>
        <v/>
      </c>
    </row>
    <row r="22">
      <c r="A22" s="19" t="inlineStr">
        <is>
          <t>Grand Total</t>
        </is>
      </c>
      <c r="B22" s="24" t="n"/>
      <c r="C22" s="20">
        <f>SUM(C14:C21)</f>
        <v/>
      </c>
      <c r="D22" s="21">
        <f>SUM(D14:D21)</f>
        <v/>
      </c>
      <c r="E22" s="25">
        <f>SUM(E14:E21)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136" customWidth="1" min="2" max="2"/>
    <col width="60" customWidth="1" min="3" max="3"/>
    <col width="27" customWidth="1" min="4" max="4"/>
  </cols>
  <sheetData>
    <row r="1">
      <c r="A1" s="14" t="inlineStr">
        <is>
          <t>ADVANCED ANALYSIS, FORMULAS &amp; BUSINESS RULES IMPLEMENTATION</t>
        </is>
      </c>
    </row>
    <row r="2"/>
    <row r="3">
      <c r="A3" s="26" t="inlineStr">
        <is>
          <t>1. Date &amp; Time Functions (TODAY, NOW, DATEDIF, EOMONTH)</t>
        </is>
      </c>
    </row>
    <row r="4">
      <c r="A4" s="27" t="inlineStr">
        <is>
          <t>Function Name</t>
        </is>
      </c>
      <c r="B4" s="27" t="inlineStr">
        <is>
          <t>Excel Formula</t>
        </is>
      </c>
      <c r="C4" s="27" t="inlineStr">
        <is>
          <t>Description / Result</t>
        </is>
      </c>
    </row>
    <row r="5">
      <c r="A5" s="28" t="inlineStr">
        <is>
          <t>TODAY()</t>
        </is>
      </c>
      <c r="B5" s="4">
        <f>TODAY()</f>
        <v/>
      </c>
      <c r="C5" s="4" t="inlineStr">
        <is>
          <t>Returns current system date</t>
        </is>
      </c>
    </row>
    <row r="6">
      <c r="A6" s="28" t="inlineStr">
        <is>
          <t>NOW()</t>
        </is>
      </c>
      <c r="B6" s="4">
        <f>NOW()</f>
        <v/>
      </c>
      <c r="C6" s="4" t="inlineStr">
        <is>
          <t>Returns current timestamp (Date &amp; Time)</t>
        </is>
      </c>
    </row>
    <row r="7">
      <c r="A7" s="28" t="inlineStr">
        <is>
          <t>DATEDIF()</t>
        </is>
      </c>
      <c r="B7" s="4">
        <f>DATEDIF(MIN('Final Project Dataset'!K2:K221), MAX('Final Project Dataset'!K2:K221), "d")</f>
        <v/>
      </c>
      <c r="C7" s="4" t="inlineStr">
        <is>
          <t>Total days span of project dataset transactions</t>
        </is>
      </c>
    </row>
    <row r="8">
      <c r="A8" s="28" t="inlineStr">
        <is>
          <t>EOMONTH()</t>
        </is>
      </c>
      <c r="B8" s="4">
        <f>EOMONTH(TODAY(), 0)</f>
        <v/>
      </c>
      <c r="C8" s="4" t="inlineStr">
        <is>
          <t>Calculates the last day of the current month</t>
        </is>
      </c>
    </row>
    <row r="9"/>
    <row r="10"/>
    <row r="11">
      <c r="A11" s="26" t="inlineStr">
        <is>
          <t>2. FILTER Function &amp; GroupBy High-Value Customers</t>
        </is>
      </c>
    </row>
    <row r="12">
      <c r="A12" s="27" t="inlineStr">
        <is>
          <t>Analysis Requirement</t>
        </is>
      </c>
      <c r="B12" s="27" t="inlineStr">
        <is>
          <t>Formula / Implementation</t>
        </is>
      </c>
      <c r="C12" s="27" t="inlineStr">
        <is>
          <t>Purpose</t>
        </is>
      </c>
    </row>
    <row r="13">
      <c r="A13" s="28" t="inlineStr">
        <is>
          <t>FILTER Function</t>
        </is>
      </c>
      <c r="B13" s="4">
        <f>FILTER('Final Project Dataset'!A2:L221, 'Final Project Dataset'!D2:D221="North")</f>
        <v/>
      </c>
      <c r="C13" s="4" t="inlineStr">
        <is>
          <t>Extracts multi-value records dynamically for North region</t>
        </is>
      </c>
    </row>
    <row r="14">
      <c r="A14" s="28" t="inlineStr">
        <is>
          <t>GroupBy High-Value Customer</t>
        </is>
      </c>
      <c r="B14" s="4">
        <f>SUMIF('Final Project Dataset'!$C$2:$C$221, C2, 'Final Project Dataset'!$J$2:$J$221)</f>
        <v/>
      </c>
      <c r="C14" s="4" t="inlineStr">
        <is>
          <t>Aggregates total customer spend to identify VIP accounts</t>
        </is>
      </c>
    </row>
    <row r="15">
      <c r="A15" s="28" t="inlineStr">
        <is>
          <t>Most Frequent Product</t>
        </is>
      </c>
      <c r="B15" s="4">
        <f>INDEX('Final Project Dataset'!$E$2:$E$221, MODE(MATCH('Final Project Dataset'!$E$2:$E$221, 'Final Project Dataset'!$E$2:$E$221, 0)))</f>
        <v/>
      </c>
      <c r="C15" s="4" t="inlineStr">
        <is>
          <t>Finds most frequently purchased product</t>
        </is>
      </c>
    </row>
    <row r="16"/>
    <row r="17"/>
    <row r="18">
      <c r="A18" s="26" t="inlineStr">
        <is>
          <t>3. What-If Analysis &amp; Scenario Manager</t>
        </is>
      </c>
    </row>
    <row r="19">
      <c r="A19" s="27" t="inlineStr">
        <is>
          <t>Scenario Name</t>
        </is>
      </c>
      <c r="B19" s="27" t="inlineStr">
        <is>
          <t>Discount Adjustment Rate</t>
        </is>
      </c>
      <c r="C19" s="27" t="inlineStr">
        <is>
          <t>Projected Total Revenue ($)</t>
        </is>
      </c>
      <c r="D19" s="27" t="inlineStr">
        <is>
          <t>Variance vs Baseline ($)</t>
        </is>
      </c>
    </row>
    <row r="20">
      <c r="A20" s="4" t="inlineStr">
        <is>
          <t>Baseline Scenario</t>
        </is>
      </c>
      <c r="B20" s="29" t="n">
        <v>0.08</v>
      </c>
      <c r="C20" s="30">
        <f>SUM('Final Project Dataset'!J2:J221)</f>
        <v/>
      </c>
      <c r="D20" s="30" t="n">
        <v>0</v>
      </c>
    </row>
    <row r="21">
      <c r="A21" s="4" t="inlineStr">
        <is>
          <t>Optimistic Scenario (Lower Discounts)</t>
        </is>
      </c>
      <c r="B21" s="29" t="n">
        <v>0.03</v>
      </c>
      <c r="C21" s="30">
        <f>SUM('Final Project Dataset'!J2:J221)*1.05</f>
        <v/>
      </c>
      <c r="D21" s="30">
        <f>C21-C20</f>
        <v/>
      </c>
    </row>
    <row r="22">
      <c r="A22" s="4" t="inlineStr">
        <is>
          <t>Conservative Scenario (Higher Discounts)</t>
        </is>
      </c>
      <c r="B22" s="29" t="n">
        <v>0.12</v>
      </c>
      <c r="C22" s="30">
        <f>SUM('Final Project Dataset'!J2:J221)*0.95</f>
        <v/>
      </c>
      <c r="D22" s="30">
        <f>C22-C20</f>
        <v/>
      </c>
    </row>
    <row r="23"/>
    <row r="24"/>
    <row r="25">
      <c r="A25" s="26" t="inlineStr">
        <is>
          <t>4. Text Functions &amp; Abbreviations</t>
        </is>
      </c>
    </row>
    <row r="26">
      <c r="A26" s="27" t="inlineStr">
        <is>
          <t>Text Operation</t>
        </is>
      </c>
      <c r="B26" s="27" t="inlineStr">
        <is>
          <t>Formula Used</t>
        </is>
      </c>
      <c r="C26" s="27" t="inlineStr">
        <is>
          <t>Result Example</t>
        </is>
      </c>
    </row>
    <row r="27">
      <c r="A27" s="28" t="inlineStr">
        <is>
          <t>Customer Abbreviation</t>
        </is>
      </c>
      <c r="B27" s="4">
        <f>UPPER(LEFT(C2, 3)) &amp; "-" &amp; TEXT(ROW(C2), "000")</f>
        <v/>
      </c>
      <c r="C27" s="4" t="inlineStr">
        <is>
          <t>RAH-002</t>
        </is>
      </c>
    </row>
    <row r="28">
      <c r="A28" s="28" t="inlineStr">
        <is>
          <t>List Matching (XLOOKUP / MATCH)</t>
        </is>
      </c>
      <c r="B28" s="4">
        <f>XLOOKUP("Laptop Pro", 'Final Project Dataset'!$E$2:$E$221, 'Final Project Dataset'!$J$2:$J$221)</f>
        <v/>
      </c>
      <c r="C28" s="4" t="inlineStr">
        <is>
          <t>Extracts matching transaction amount</t>
        </is>
      </c>
    </row>
    <row r="29">
      <c r="A29" s="28" t="inlineStr">
        <is>
          <t>Linear Regression (Toolpak)</t>
        </is>
      </c>
      <c r="B29" s="4" t="inlineStr">
        <is>
          <t>Data Analysis &gt; Regression Toolpak</t>
        </is>
      </c>
      <c r="C29" s="4" t="inlineStr">
        <is>
          <t>Predicts sales trend over time periods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2026-09-15T07:33:18Z</dcterms:created>
  <dcterms:modified xmlns:dcterms="http://purl.org/dc/terms/" xmlns:xsi="http://www.w3.org/2001/XMLSchema-instance" xsi:type="dcterms:W3CDTF">2026-09-15T07:33:36Z</dcterms:modified>
</cp:coreProperties>
</file>