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 MI DATA SCIENCE\Excel\project work\project 1\"/>
    </mc:Choice>
  </mc:AlternateContent>
  <xr:revisionPtr revIDLastSave="0" documentId="13_ncr:1_{F44D09E4-37EA-4641-9AA5-86FAFDE7966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tudent_Data" sheetId="2" r:id="rId1"/>
    <sheet name="Sales_Data" sheetId="3" r:id="rId2"/>
    <sheet name="Employee_Data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4" l="1"/>
  <c r="B23" i="4"/>
  <c r="B20" i="4"/>
  <c r="B19" i="4"/>
  <c r="B18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B41" i="3"/>
  <c r="R27" i="3"/>
  <c r="M18" i="3"/>
  <c r="J18" i="3"/>
  <c r="I18" i="3"/>
  <c r="K18" i="3" s="1"/>
  <c r="M17" i="3"/>
  <c r="J17" i="3"/>
  <c r="I17" i="3"/>
  <c r="L17" i="3" s="1"/>
  <c r="M16" i="3"/>
  <c r="J16" i="3"/>
  <c r="I16" i="3"/>
  <c r="K16" i="3" s="1"/>
  <c r="M15" i="3"/>
  <c r="K15" i="3"/>
  <c r="J15" i="3"/>
  <c r="I15" i="3"/>
  <c r="L15" i="3" s="1"/>
  <c r="M14" i="3"/>
  <c r="J14" i="3"/>
  <c r="I14" i="3"/>
  <c r="K14" i="3" s="1"/>
  <c r="M13" i="3"/>
  <c r="J13" i="3"/>
  <c r="I13" i="3"/>
  <c r="L13" i="3" s="1"/>
  <c r="M12" i="3"/>
  <c r="K12" i="3"/>
  <c r="J12" i="3"/>
  <c r="I12" i="3"/>
  <c r="L12" i="3" s="1"/>
  <c r="M11" i="3"/>
  <c r="J11" i="3"/>
  <c r="I11" i="3"/>
  <c r="L11" i="3" s="1"/>
  <c r="M10" i="3"/>
  <c r="J10" i="3"/>
  <c r="I10" i="3"/>
  <c r="K10" i="3" s="1"/>
  <c r="M9" i="3"/>
  <c r="L9" i="3"/>
  <c r="K9" i="3"/>
  <c r="J9" i="3"/>
  <c r="I9" i="3"/>
  <c r="M8" i="3"/>
  <c r="J8" i="3"/>
  <c r="I8" i="3"/>
  <c r="K8" i="3" s="1"/>
  <c r="M7" i="3"/>
  <c r="L7" i="3"/>
  <c r="K7" i="3"/>
  <c r="J7" i="3"/>
  <c r="I7" i="3"/>
  <c r="B38" i="3" s="1"/>
  <c r="M6" i="3"/>
  <c r="K6" i="3"/>
  <c r="J6" i="3"/>
  <c r="I6" i="3"/>
  <c r="L6" i="3" s="1"/>
  <c r="M5" i="3"/>
  <c r="J5" i="3"/>
  <c r="I5" i="3"/>
  <c r="L5" i="3" s="1"/>
  <c r="M4" i="3"/>
  <c r="K4" i="3"/>
  <c r="J4" i="3"/>
  <c r="I4" i="3"/>
  <c r="D53" i="3" s="1"/>
  <c r="B24" i="2"/>
  <c r="B20" i="2"/>
  <c r="B17" i="2"/>
  <c r="L13" i="2"/>
  <c r="K13" i="2"/>
  <c r="J13" i="2"/>
  <c r="I13" i="2"/>
  <c r="H13" i="2"/>
  <c r="G13" i="2"/>
  <c r="F13" i="2"/>
  <c r="L12" i="2"/>
  <c r="K12" i="2"/>
  <c r="J12" i="2"/>
  <c r="I12" i="2"/>
  <c r="H12" i="2"/>
  <c r="G12" i="2"/>
  <c r="F12" i="2"/>
  <c r="L11" i="2"/>
  <c r="K11" i="2"/>
  <c r="J11" i="2"/>
  <c r="I11" i="2"/>
  <c r="H11" i="2"/>
  <c r="G11" i="2"/>
  <c r="F11" i="2"/>
  <c r="L10" i="2"/>
  <c r="K10" i="2"/>
  <c r="J10" i="2"/>
  <c r="I10" i="2"/>
  <c r="H10" i="2"/>
  <c r="G10" i="2"/>
  <c r="F10" i="2"/>
  <c r="L9" i="2"/>
  <c r="K9" i="2"/>
  <c r="J9" i="2"/>
  <c r="I9" i="2"/>
  <c r="H9" i="2"/>
  <c r="G9" i="2"/>
  <c r="F9" i="2"/>
  <c r="L8" i="2"/>
  <c r="K8" i="2"/>
  <c r="J8" i="2"/>
  <c r="I8" i="2"/>
  <c r="H8" i="2"/>
  <c r="G8" i="2"/>
  <c r="F8" i="2"/>
  <c r="L7" i="2"/>
  <c r="K7" i="2"/>
  <c r="J7" i="2"/>
  <c r="I7" i="2"/>
  <c r="H7" i="2"/>
  <c r="G7" i="2"/>
  <c r="F7" i="2"/>
  <c r="L6" i="2"/>
  <c r="K6" i="2"/>
  <c r="J6" i="2"/>
  <c r="I6" i="2"/>
  <c r="H6" i="2"/>
  <c r="G6" i="2"/>
  <c r="F6" i="2"/>
  <c r="L5" i="2"/>
  <c r="K5" i="2"/>
  <c r="J5" i="2"/>
  <c r="I5" i="2"/>
  <c r="H5" i="2"/>
  <c r="G5" i="2"/>
  <c r="F5" i="2"/>
  <c r="L4" i="2"/>
  <c r="K4" i="2"/>
  <c r="B29" i="2" s="1"/>
  <c r="J4" i="2"/>
  <c r="I4" i="2"/>
  <c r="H4" i="2"/>
  <c r="G4" i="2"/>
  <c r="F4" i="2"/>
  <c r="B45" i="3"/>
  <c r="L14" i="3" l="1"/>
  <c r="L18" i="3"/>
  <c r="L10" i="3"/>
  <c r="L4" i="3"/>
  <c r="B23" i="3"/>
  <c r="K17" i="3"/>
  <c r="B35" i="3"/>
  <c r="K5" i="3"/>
  <c r="L8" i="3"/>
  <c r="K13" i="3"/>
  <c r="L16" i="3"/>
  <c r="B49" i="3"/>
  <c r="A53" i="3"/>
  <c r="B53" i="3"/>
  <c r="C53" i="3"/>
  <c r="K11" i="3"/>
</calcChain>
</file>

<file path=xl/sharedStrings.xml><?xml version="1.0" encoding="utf-8"?>
<sst xmlns="http://schemas.openxmlformats.org/spreadsheetml/2006/main" count="259" uniqueCount="167">
  <si>
    <t>Student Data - Grades &amp; Text Analysis</t>
  </si>
  <si>
    <t>Bonus Marks (Absolute Ref demo):</t>
  </si>
  <si>
    <t>StudentID</t>
  </si>
  <si>
    <t>Name</t>
  </si>
  <si>
    <t>Math</t>
  </si>
  <si>
    <t>Science</t>
  </si>
  <si>
    <t>Grade (Nested IF)</t>
  </si>
  <si>
    <t>Pass Both &gt;80 (AND)</t>
  </si>
  <si>
    <t>First_Name (TEXT)</t>
  </si>
  <si>
    <t>Name_UPPER</t>
  </si>
  <si>
    <t>Name_lower</t>
  </si>
  <si>
    <t>Top Performer &gt;80</t>
  </si>
  <si>
    <t>Math + Bonus (abs ref)</t>
  </si>
  <si>
    <t>S001</t>
  </si>
  <si>
    <t>Aarav Sharma</t>
  </si>
  <si>
    <t>S002</t>
  </si>
  <si>
    <t>Diya Patel</t>
  </si>
  <si>
    <t>S003</t>
  </si>
  <si>
    <t>Kabir Singh</t>
  </si>
  <si>
    <t>S004</t>
  </si>
  <si>
    <t>Meera Nair</t>
  </si>
  <si>
    <t>S005</t>
  </si>
  <si>
    <t>Rohan Gupta</t>
  </si>
  <si>
    <t>S006</t>
  </si>
  <si>
    <t>Isha Reddy</t>
  </si>
  <si>
    <t>S007</t>
  </si>
  <si>
    <t>Arjun Verma</t>
  </si>
  <si>
    <t>S008</t>
  </si>
  <si>
    <t>Sanya Kapoor</t>
  </si>
  <si>
    <t>S009</t>
  </si>
  <si>
    <t>Vihaan Joshi</t>
  </si>
  <si>
    <t>S010</t>
  </si>
  <si>
    <t>Ananya Rao</t>
  </si>
  <si>
    <t>Task 5 - COUNTIFS: Count students who scored above 50 in Math</t>
  </si>
  <si>
    <t>Count:</t>
  </si>
  <si>
    <t>Task 7 - AVERAGEIFS: Average score of students who scored above 60 in Math</t>
  </si>
  <si>
    <t>Average:</t>
  </si>
  <si>
    <t>Task 8 - VLOOKUP: Fetch student name based on ID from a separate dataset</t>
  </si>
  <si>
    <t>Enter Student ID:</t>
  </si>
  <si>
    <t>Result (Name via VLOOKUP):</t>
  </si>
  <si>
    <t>Task 12 &amp; 13 - TEXT functions: see columns H (First_Name), I (UPPER), J (lower) above</t>
  </si>
  <si>
    <t>Task 22 - FILTER: Extract a list of top-performing students (Math above 80)</t>
  </si>
  <si>
    <t>Top performers:</t>
  </si>
  <si>
    <t>Sales Data - Lookups, Conditions &amp; Dynamic Ranges</t>
  </si>
  <si>
    <t>Commission Rate (Absolute Ref demo):</t>
  </si>
  <si>
    <t>SaleID</t>
  </si>
  <si>
    <t>Salesperson</t>
  </si>
  <si>
    <t>Region</t>
  </si>
  <si>
    <t>Product</t>
  </si>
  <si>
    <t>ProductCode</t>
  </si>
  <si>
    <t>Month</t>
  </si>
  <si>
    <t>Price</t>
  </si>
  <si>
    <t>UnitsSold</t>
  </si>
  <si>
    <t>SalesAmount</t>
  </si>
  <si>
    <t>Discount (IF)</t>
  </si>
  <si>
    <t>Discount_Eligible (OR)</t>
  </si>
  <si>
    <t>Commission (abs ref)</t>
  </si>
  <si>
    <t>SP_Month_Key</t>
  </si>
  <si>
    <t>SL001</t>
  </si>
  <si>
    <t>Rohit Mehta</t>
  </si>
  <si>
    <t>North</t>
  </si>
  <si>
    <t>Laptop</t>
  </si>
  <si>
    <t>P001</t>
  </si>
  <si>
    <t>Jan</t>
  </si>
  <si>
    <t>SL002</t>
  </si>
  <si>
    <t>Priya Nair</t>
  </si>
  <si>
    <t>South</t>
  </si>
  <si>
    <t>Mouse</t>
  </si>
  <si>
    <t>P002</t>
  </si>
  <si>
    <t>SL003</t>
  </si>
  <si>
    <t>Aman Khanna</t>
  </si>
  <si>
    <t>East</t>
  </si>
  <si>
    <t>Keyboard</t>
  </si>
  <si>
    <t>P003</t>
  </si>
  <si>
    <t>SL004</t>
  </si>
  <si>
    <t>Riya Patel</t>
  </si>
  <si>
    <t>West</t>
  </si>
  <si>
    <t>Monitor</t>
  </si>
  <si>
    <t>P004</t>
  </si>
  <si>
    <t>SL005</t>
  </si>
  <si>
    <t>Suresh Iyer</t>
  </si>
  <si>
    <t>Printer</t>
  </si>
  <si>
    <t>P005</t>
  </si>
  <si>
    <t>SL006</t>
  </si>
  <si>
    <t>Feb</t>
  </si>
  <si>
    <t>SL007</t>
  </si>
  <si>
    <t>SL008</t>
  </si>
  <si>
    <t>SL009</t>
  </si>
  <si>
    <t>SL010</t>
  </si>
  <si>
    <t>SL011</t>
  </si>
  <si>
    <t>Mar</t>
  </si>
  <si>
    <t>SL012</t>
  </si>
  <si>
    <t>SL013</t>
  </si>
  <si>
    <t>SL014</t>
  </si>
  <si>
    <t>SL015</t>
  </si>
  <si>
    <t>Task 6 - SUMIFS: Total sales for a specific region and product</t>
  </si>
  <si>
    <t>Region:</t>
  </si>
  <si>
    <t>Product:</t>
  </si>
  <si>
    <t>Total Sales:</t>
  </si>
  <si>
    <t>Task 9 - VLOOKUP: Retrieve product price based on product code</t>
  </si>
  <si>
    <t>Enter Product Code:</t>
  </si>
  <si>
    <t>Price (VLOOKUP):</t>
  </si>
  <si>
    <t>Task 10 - INDEX/MATCH: Sales value for a specific salesperson &amp; month</t>
  </si>
  <si>
    <t>Salesperson:</t>
  </si>
  <si>
    <t>Month:</t>
  </si>
  <si>
    <t>Sales Amount (INDEX/MATCH):</t>
  </si>
  <si>
    <t>Task 14 - XLOOKUP: Salesperson performance (flexible search criteria)</t>
  </si>
  <si>
    <t>Performance (first match, Sales Amount):</t>
  </si>
  <si>
    <t>Task 16 - XMATCH: Position of a product in the sales list</t>
  </si>
  <si>
    <t>Position (MATCH):</t>
  </si>
  <si>
    <t>Task 17 - INDIRECT: Dynamically reference a cell range</t>
  </si>
  <si>
    <t>Enter a range as text (e.g. I4:I18):</t>
  </si>
  <si>
    <t>I4:I18</t>
  </si>
  <si>
    <t>Sum of that Range (INDIRECT):</t>
  </si>
  <si>
    <t>Task 18 - OFFSET: Create dynamic ranges for sales trends</t>
  </si>
  <si>
    <t>Number of rows to include from the top of SalesAmount:</t>
  </si>
  <si>
    <t>Rolling Total (OFFSET):</t>
  </si>
  <si>
    <t>Task 21 - ROUND / CEILING / FLOOR: Financial calculations on Sales Amount</t>
  </si>
  <si>
    <t>Original SalesAmount</t>
  </si>
  <si>
    <t>ROUND (-2)</t>
  </si>
  <si>
    <t>CEILING (nearest 50)</t>
  </si>
  <si>
    <t>FLOOR (nearest 50)</t>
  </si>
  <si>
    <t>Employee Data - Lookups, Dates &amp; Math</t>
  </si>
  <si>
    <t>EmpID</t>
  </si>
  <si>
    <t>Department</t>
  </si>
  <si>
    <t>DOB</t>
  </si>
  <si>
    <t>DateOfJoining</t>
  </si>
  <si>
    <t>Salary</t>
  </si>
  <si>
    <t>Age</t>
  </si>
  <si>
    <t>Days_Since_Joining</t>
  </si>
  <si>
    <t>E001</t>
  </si>
  <si>
    <t>Neha Bansal</t>
  </si>
  <si>
    <t>Finance</t>
  </si>
  <si>
    <t>E002</t>
  </si>
  <si>
    <t>Karan Malhotra</t>
  </si>
  <si>
    <t>IT</t>
  </si>
  <si>
    <t>E003</t>
  </si>
  <si>
    <t>Pooja Menon</t>
  </si>
  <si>
    <t>HR</t>
  </si>
  <si>
    <t>E004</t>
  </si>
  <si>
    <t>Vikram Rao</t>
  </si>
  <si>
    <t>Sales</t>
  </si>
  <si>
    <t>E005</t>
  </si>
  <si>
    <t>Simran Kaur</t>
  </si>
  <si>
    <t>E006</t>
  </si>
  <si>
    <t>Farhan Ali</t>
  </si>
  <si>
    <t>E007</t>
  </si>
  <si>
    <t>Tanya Chopra</t>
  </si>
  <si>
    <t>Marketing</t>
  </si>
  <si>
    <t>E008</t>
  </si>
  <si>
    <t>Devansh Kulkarni</t>
  </si>
  <si>
    <t>E009</t>
  </si>
  <si>
    <t>Kritika Bose</t>
  </si>
  <si>
    <t>E010</t>
  </si>
  <si>
    <t>Aditya Pillai</t>
  </si>
  <si>
    <t>Task 11 - INDEX/MATCH: Employee details dynamically (no column restriction)</t>
  </si>
  <si>
    <t>Enter EmpID:</t>
  </si>
  <si>
    <t>Name:</t>
  </si>
  <si>
    <t>Department:</t>
  </si>
  <si>
    <t>Salary:</t>
  </si>
  <si>
    <t>Task 15 - XLOOKUP: Employee salary (works even on unsorted data)</t>
  </si>
  <si>
    <t>Salary (INDEX/MATCH):</t>
  </si>
  <si>
    <t>Task 19 - DATE: Age from date of birth (see column G above) - DATEDIF(DOB,TODAY(),"Y")</t>
  </si>
  <si>
    <t>Task 20 - DATE: Difference in days between two dates</t>
  </si>
  <si>
    <t>Date 1:</t>
  </si>
  <si>
    <t>Date 2:</t>
  </si>
  <si>
    <t>Difference (days):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</si>
</sst>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dd\-mmm\-yyyy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i/>
      <sz val="9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4" borderId="0" xfId="0" applyFont="1" applyFill="1"/>
    <xf numFmtId="0" fontId="4" fillId="4" borderId="0" xfId="0" applyFont="1" applyFill="1"/>
    <xf numFmtId="9" fontId="3" fillId="3" borderId="1" xfId="0" applyNumberFormat="1" applyFont="1" applyFill="1" applyBorder="1"/>
    <xf numFmtId="164" fontId="0" fillId="0" borderId="1" xfId="0" applyNumberFormat="1" applyBorder="1"/>
    <xf numFmtId="164" fontId="5" fillId="0" borderId="1" xfId="0" applyNumberFormat="1" applyFont="1" applyBorder="1"/>
    <xf numFmtId="165" fontId="0" fillId="0" borderId="1" xfId="0" applyNumberFormat="1" applyBorder="1"/>
    <xf numFmtId="165" fontId="3" fillId="3" borderId="1" xfId="0" applyNumberFormat="1" applyFont="1" applyFill="1" applyBorder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31"/>
  <sheetViews>
    <sheetView zoomScaleNormal="100" workbookViewId="0">
      <pane ySplit="3" topLeftCell="A16" activePane="bottomLeft" state="frozen"/>
      <selection pane="bottomLeft" activeCell="A30" sqref="A30:XFD30"/>
    </sheetView>
  </sheetViews>
  <sheetFormatPr defaultColWidth="8.6640625" defaultRowHeight="14.4" x14ac:dyDescent="0.3"/>
  <cols>
    <col min="1" max="1" width="10" customWidth="1"/>
    <col min="2" max="2" width="18" customWidth="1"/>
    <col min="3" max="3" width="8" customWidth="1"/>
    <col min="4" max="4" width="9" customWidth="1"/>
    <col min="5" max="5" width="3" customWidth="1"/>
    <col min="6" max="6" width="9" customWidth="1"/>
    <col min="7" max="7" width="14" customWidth="1"/>
    <col min="8" max="8" width="12" customWidth="1"/>
    <col min="9" max="12" width="16" customWidth="1"/>
    <col min="13" max="13" width="3" customWidth="1"/>
    <col min="14" max="14" width="20" customWidth="1"/>
    <col min="15" max="15" width="10" customWidth="1"/>
  </cols>
  <sheetData>
    <row r="1" spans="1:15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5" x14ac:dyDescent="0.3">
      <c r="N2" s="1" t="s">
        <v>1</v>
      </c>
      <c r="O2" s="2">
        <v>5</v>
      </c>
    </row>
    <row r="3" spans="1:15" ht="39.6" x14ac:dyDescent="0.3">
      <c r="A3" s="3" t="s">
        <v>2</v>
      </c>
      <c r="B3" s="3" t="s">
        <v>3</v>
      </c>
      <c r="C3" s="3" t="s">
        <v>4</v>
      </c>
      <c r="D3" s="3" t="s">
        <v>5</v>
      </c>
      <c r="E3" s="3"/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5" x14ac:dyDescent="0.3">
      <c r="A4" s="4" t="s">
        <v>13</v>
      </c>
      <c r="B4" s="4" t="s">
        <v>14</v>
      </c>
      <c r="C4" s="4">
        <v>92</v>
      </c>
      <c r="D4" s="4">
        <v>88</v>
      </c>
      <c r="F4" s="5" t="str">
        <f t="shared" ref="F4:F13" si="0">IF(C4&gt;=90,"A",IF(C4&gt;=75,"B",IF(C4&gt;=60,"C","D")))</f>
        <v>A</v>
      </c>
      <c r="G4" s="5" t="str">
        <f t="shared" ref="G4:G13" si="1">IF(AND(C4&gt;80,D4&gt;80),"Yes","No")</f>
        <v>Yes</v>
      </c>
      <c r="H4" s="5" t="str">
        <f t="shared" ref="H4:H13" si="2">LEFT(B4,FIND(" ",B4)-1)</f>
        <v>Aarav</v>
      </c>
      <c r="I4" s="5" t="str">
        <f t="shared" ref="I4:I13" si="3">UPPER(B4)</f>
        <v>AARAV SHARMA</v>
      </c>
      <c r="J4" s="5" t="str">
        <f t="shared" ref="J4:J13" si="4">LOWER(B4)</f>
        <v>aarav sharma</v>
      </c>
      <c r="K4" s="5" t="str">
        <f t="shared" ref="K4:K13" si="5">IF(C4&gt;80,B4,"")</f>
        <v>Aarav Sharma</v>
      </c>
      <c r="L4" s="5">
        <f t="shared" ref="L4:L13" si="6">C4+$O$2</f>
        <v>97</v>
      </c>
    </row>
    <row r="5" spans="1:15" x14ac:dyDescent="0.3">
      <c r="A5" s="4" t="s">
        <v>15</v>
      </c>
      <c r="B5" s="4" t="s">
        <v>16</v>
      </c>
      <c r="C5" s="4">
        <v>67</v>
      </c>
      <c r="D5" s="4">
        <v>74</v>
      </c>
      <c r="F5" s="5" t="str">
        <f t="shared" si="0"/>
        <v>C</v>
      </c>
      <c r="G5" s="5" t="str">
        <f t="shared" si="1"/>
        <v>No</v>
      </c>
      <c r="H5" s="5" t="str">
        <f t="shared" si="2"/>
        <v>Diya</v>
      </c>
      <c r="I5" s="5" t="str">
        <f t="shared" si="3"/>
        <v>DIYA PATEL</v>
      </c>
      <c r="J5" s="5" t="str">
        <f t="shared" si="4"/>
        <v>diya patel</v>
      </c>
      <c r="K5" s="5" t="str">
        <f t="shared" si="5"/>
        <v/>
      </c>
      <c r="L5" s="5">
        <f t="shared" si="6"/>
        <v>72</v>
      </c>
    </row>
    <row r="6" spans="1:15" x14ac:dyDescent="0.3">
      <c r="A6" s="4" t="s">
        <v>17</v>
      </c>
      <c r="B6" s="4" t="s">
        <v>18</v>
      </c>
      <c r="C6" s="4">
        <v>55</v>
      </c>
      <c r="D6" s="4">
        <v>48</v>
      </c>
      <c r="F6" s="5" t="str">
        <f t="shared" si="0"/>
        <v>D</v>
      </c>
      <c r="G6" s="5" t="str">
        <f t="shared" si="1"/>
        <v>No</v>
      </c>
      <c r="H6" s="5" t="str">
        <f t="shared" si="2"/>
        <v>Kabir</v>
      </c>
      <c r="I6" s="5" t="str">
        <f t="shared" si="3"/>
        <v>KABIR SINGH</v>
      </c>
      <c r="J6" s="5" t="str">
        <f t="shared" si="4"/>
        <v>kabir singh</v>
      </c>
      <c r="K6" s="5" t="str">
        <f t="shared" si="5"/>
        <v/>
      </c>
      <c r="L6" s="5">
        <f t="shared" si="6"/>
        <v>60</v>
      </c>
    </row>
    <row r="7" spans="1:15" x14ac:dyDescent="0.3">
      <c r="A7" s="4" t="s">
        <v>19</v>
      </c>
      <c r="B7" s="4" t="s">
        <v>20</v>
      </c>
      <c r="C7" s="4">
        <v>81</v>
      </c>
      <c r="D7" s="4">
        <v>85</v>
      </c>
      <c r="F7" s="5" t="str">
        <f t="shared" si="0"/>
        <v>B</v>
      </c>
      <c r="G7" s="5" t="str">
        <f t="shared" si="1"/>
        <v>Yes</v>
      </c>
      <c r="H7" s="5" t="str">
        <f t="shared" si="2"/>
        <v>Meera</v>
      </c>
      <c r="I7" s="5" t="str">
        <f t="shared" si="3"/>
        <v>MEERA NAIR</v>
      </c>
      <c r="J7" s="5" t="str">
        <f t="shared" si="4"/>
        <v>meera nair</v>
      </c>
      <c r="K7" s="5" t="str">
        <f t="shared" si="5"/>
        <v>Meera Nair</v>
      </c>
      <c r="L7" s="5">
        <f t="shared" si="6"/>
        <v>86</v>
      </c>
    </row>
    <row r="8" spans="1:15" x14ac:dyDescent="0.3">
      <c r="A8" s="4" t="s">
        <v>21</v>
      </c>
      <c r="B8" s="4" t="s">
        <v>22</v>
      </c>
      <c r="C8" s="4">
        <v>73</v>
      </c>
      <c r="D8" s="4">
        <v>60</v>
      </c>
      <c r="F8" s="5" t="str">
        <f t="shared" si="0"/>
        <v>C</v>
      </c>
      <c r="G8" s="5" t="str">
        <f t="shared" si="1"/>
        <v>No</v>
      </c>
      <c r="H8" s="5" t="str">
        <f t="shared" si="2"/>
        <v>Rohan</v>
      </c>
      <c r="I8" s="5" t="str">
        <f t="shared" si="3"/>
        <v>ROHAN GUPTA</v>
      </c>
      <c r="J8" s="5" t="str">
        <f t="shared" si="4"/>
        <v>rohan gupta</v>
      </c>
      <c r="K8" s="5" t="str">
        <f t="shared" si="5"/>
        <v/>
      </c>
      <c r="L8" s="5">
        <f t="shared" si="6"/>
        <v>78</v>
      </c>
    </row>
    <row r="9" spans="1:15" x14ac:dyDescent="0.3">
      <c r="A9" s="4" t="s">
        <v>23</v>
      </c>
      <c r="B9" s="4" t="s">
        <v>24</v>
      </c>
      <c r="C9" s="4">
        <v>95</v>
      </c>
      <c r="D9" s="4">
        <v>91</v>
      </c>
      <c r="F9" s="5" t="str">
        <f t="shared" si="0"/>
        <v>A</v>
      </c>
      <c r="G9" s="5" t="str">
        <f t="shared" si="1"/>
        <v>Yes</v>
      </c>
      <c r="H9" s="5" t="str">
        <f t="shared" si="2"/>
        <v>Isha</v>
      </c>
      <c r="I9" s="5" t="str">
        <f t="shared" si="3"/>
        <v>ISHA REDDY</v>
      </c>
      <c r="J9" s="5" t="str">
        <f t="shared" si="4"/>
        <v>isha reddy</v>
      </c>
      <c r="K9" s="5" t="str">
        <f t="shared" si="5"/>
        <v>Isha Reddy</v>
      </c>
      <c r="L9" s="5">
        <f t="shared" si="6"/>
        <v>100</v>
      </c>
    </row>
    <row r="10" spans="1:15" x14ac:dyDescent="0.3">
      <c r="A10" s="4" t="s">
        <v>25</v>
      </c>
      <c r="B10" s="4" t="s">
        <v>26</v>
      </c>
      <c r="C10" s="4">
        <v>42</v>
      </c>
      <c r="D10" s="4">
        <v>58</v>
      </c>
      <c r="F10" s="5" t="str">
        <f t="shared" si="0"/>
        <v>D</v>
      </c>
      <c r="G10" s="5" t="str">
        <f t="shared" si="1"/>
        <v>No</v>
      </c>
      <c r="H10" s="5" t="str">
        <f t="shared" si="2"/>
        <v>Arjun</v>
      </c>
      <c r="I10" s="5" t="str">
        <f t="shared" si="3"/>
        <v>ARJUN VERMA</v>
      </c>
      <c r="J10" s="5" t="str">
        <f t="shared" si="4"/>
        <v>arjun verma</v>
      </c>
      <c r="K10" s="5" t="str">
        <f t="shared" si="5"/>
        <v/>
      </c>
      <c r="L10" s="5">
        <f t="shared" si="6"/>
        <v>47</v>
      </c>
    </row>
    <row r="11" spans="1:15" x14ac:dyDescent="0.3">
      <c r="A11" s="4" t="s">
        <v>27</v>
      </c>
      <c r="B11" s="4" t="s">
        <v>28</v>
      </c>
      <c r="C11" s="4">
        <v>88</v>
      </c>
      <c r="D11" s="4">
        <v>79</v>
      </c>
      <c r="F11" s="5" t="str">
        <f t="shared" si="0"/>
        <v>B</v>
      </c>
      <c r="G11" s="5" t="str">
        <f t="shared" si="1"/>
        <v>No</v>
      </c>
      <c r="H11" s="5" t="str">
        <f t="shared" si="2"/>
        <v>Sanya</v>
      </c>
      <c r="I11" s="5" t="str">
        <f t="shared" si="3"/>
        <v>SANYA KAPOOR</v>
      </c>
      <c r="J11" s="5" t="str">
        <f t="shared" si="4"/>
        <v>sanya kapoor</v>
      </c>
      <c r="K11" s="5" t="str">
        <f t="shared" si="5"/>
        <v>Sanya Kapoor</v>
      </c>
      <c r="L11" s="5">
        <f t="shared" si="6"/>
        <v>93</v>
      </c>
    </row>
    <row r="12" spans="1:15" x14ac:dyDescent="0.3">
      <c r="A12" s="4" t="s">
        <v>29</v>
      </c>
      <c r="B12" s="4" t="s">
        <v>30</v>
      </c>
      <c r="C12" s="4">
        <v>63</v>
      </c>
      <c r="D12" s="4">
        <v>66</v>
      </c>
      <c r="F12" s="5" t="str">
        <f t="shared" si="0"/>
        <v>C</v>
      </c>
      <c r="G12" s="5" t="str">
        <f t="shared" si="1"/>
        <v>No</v>
      </c>
      <c r="H12" s="5" t="str">
        <f t="shared" si="2"/>
        <v>Vihaan</v>
      </c>
      <c r="I12" s="5" t="str">
        <f t="shared" si="3"/>
        <v>VIHAAN JOSHI</v>
      </c>
      <c r="J12" s="5" t="str">
        <f t="shared" si="4"/>
        <v>vihaan joshi</v>
      </c>
      <c r="K12" s="5" t="str">
        <f t="shared" si="5"/>
        <v/>
      </c>
      <c r="L12" s="5">
        <f t="shared" si="6"/>
        <v>68</v>
      </c>
    </row>
    <row r="13" spans="1:15" x14ac:dyDescent="0.3">
      <c r="A13" s="4" t="s">
        <v>31</v>
      </c>
      <c r="B13" s="4" t="s">
        <v>32</v>
      </c>
      <c r="C13" s="4">
        <v>77</v>
      </c>
      <c r="D13" s="4">
        <v>82</v>
      </c>
      <c r="F13" s="5" t="str">
        <f t="shared" si="0"/>
        <v>B</v>
      </c>
      <c r="G13" s="5" t="str">
        <f t="shared" si="1"/>
        <v>No</v>
      </c>
      <c r="H13" s="5" t="str">
        <f t="shared" si="2"/>
        <v>Ananya</v>
      </c>
      <c r="I13" s="5" t="str">
        <f t="shared" si="3"/>
        <v>ANANYA RAO</v>
      </c>
      <c r="J13" s="5" t="str">
        <f t="shared" si="4"/>
        <v>ananya rao</v>
      </c>
      <c r="K13" s="5" t="str">
        <f t="shared" si="5"/>
        <v/>
      </c>
      <c r="L13" s="5">
        <f t="shared" si="6"/>
        <v>82</v>
      </c>
    </row>
    <row r="16" spans="1:15" x14ac:dyDescent="0.3">
      <c r="A16" s="6" t="s">
        <v>33</v>
      </c>
    </row>
    <row r="17" spans="1:14" x14ac:dyDescent="0.3">
      <c r="A17" s="1" t="s">
        <v>34</v>
      </c>
      <c r="B17" s="5">
        <f>COUNTIFS(C4:C13,"&gt;50")</f>
        <v>9</v>
      </c>
    </row>
    <row r="19" spans="1:14" x14ac:dyDescent="0.3">
      <c r="A19" s="6" t="s">
        <v>35</v>
      </c>
    </row>
    <row r="20" spans="1:14" x14ac:dyDescent="0.3">
      <c r="A20" s="1" t="s">
        <v>36</v>
      </c>
      <c r="B20" s="5">
        <f>AVERAGEIFS(C4:C13,C4:C13,"&gt;60")</f>
        <v>79.5</v>
      </c>
    </row>
    <row r="22" spans="1:14" x14ac:dyDescent="0.3">
      <c r="A22" s="6" t="s">
        <v>37</v>
      </c>
      <c r="M22" s="7"/>
      <c r="N22" s="8" t="s">
        <v>3</v>
      </c>
    </row>
    <row r="23" spans="1:14" x14ac:dyDescent="0.3">
      <c r="A23" s="1" t="s">
        <v>38</v>
      </c>
      <c r="B23" s="2" t="s">
        <v>21</v>
      </c>
      <c r="M23" s="4" t="s">
        <v>13</v>
      </c>
      <c r="N23" s="4" t="s">
        <v>14</v>
      </c>
    </row>
    <row r="24" spans="1:14" x14ac:dyDescent="0.3">
      <c r="A24" s="1" t="s">
        <v>39</v>
      </c>
      <c r="B24" s="5" t="str">
        <f>VLOOKUP(B23,M23:N31,2,FALSE())</f>
        <v>Rohan Gupta</v>
      </c>
      <c r="M24" s="4" t="s">
        <v>15</v>
      </c>
      <c r="N24" s="4" t="s">
        <v>16</v>
      </c>
    </row>
    <row r="25" spans="1:14" x14ac:dyDescent="0.3">
      <c r="M25" s="4" t="s">
        <v>17</v>
      </c>
      <c r="N25" s="4" t="s">
        <v>18</v>
      </c>
    </row>
    <row r="26" spans="1:14" x14ac:dyDescent="0.3">
      <c r="A26" s="6" t="s">
        <v>40</v>
      </c>
      <c r="M26" s="4" t="s">
        <v>19</v>
      </c>
      <c r="N26" s="4" t="s">
        <v>20</v>
      </c>
    </row>
    <row r="27" spans="1:14" x14ac:dyDescent="0.3">
      <c r="M27" s="4" t="s">
        <v>21</v>
      </c>
      <c r="N27" s="4" t="s">
        <v>22</v>
      </c>
    </row>
    <row r="28" spans="1:14" x14ac:dyDescent="0.3">
      <c r="A28" s="6" t="s">
        <v>41</v>
      </c>
      <c r="M28" s="4" t="s">
        <v>23</v>
      </c>
      <c r="N28" s="4" t="s">
        <v>24</v>
      </c>
    </row>
    <row r="29" spans="1:14" x14ac:dyDescent="0.3">
      <c r="A29" s="1" t="s">
        <v>42</v>
      </c>
      <c r="B29" s="5" t="str">
        <f>_xlfn.TEXTJOIN(", ",TRUE(),K4:K13)</f>
        <v>Aarav Sharma, Meera Nair, Isha Reddy, Sanya Kapoor</v>
      </c>
      <c r="M29" s="4" t="s">
        <v>25</v>
      </c>
      <c r="N29" s="4" t="s">
        <v>26</v>
      </c>
    </row>
    <row r="30" spans="1:14" x14ac:dyDescent="0.3">
      <c r="M30" s="4" t="s">
        <v>29</v>
      </c>
      <c r="N30" s="4" t="s">
        <v>30</v>
      </c>
    </row>
    <row r="31" spans="1:14" x14ac:dyDescent="0.3">
      <c r="M31" s="4" t="s">
        <v>31</v>
      </c>
      <c r="N31" s="4" t="s">
        <v>32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R53"/>
  <sheetViews>
    <sheetView zoomScaleNormal="100" workbookViewId="0">
      <pane ySplit="3" topLeftCell="A40" activePane="bottomLeft" state="frozen"/>
      <selection pane="bottomLeft" activeCell="A41" sqref="A41:XFD41"/>
    </sheetView>
  </sheetViews>
  <sheetFormatPr defaultColWidth="8.6640625" defaultRowHeight="14.4" x14ac:dyDescent="0.3"/>
  <cols>
    <col min="1" max="1" width="9" customWidth="1"/>
    <col min="2" max="2" width="15" customWidth="1"/>
    <col min="3" max="3" width="9" customWidth="1"/>
    <col min="4" max="4" width="11" customWidth="1"/>
    <col min="5" max="5" width="8" customWidth="1"/>
    <col min="6" max="6" width="15" customWidth="1"/>
    <col min="7" max="7" width="13" customWidth="1"/>
    <col min="8" max="8" width="9" customWidth="1"/>
    <col min="9" max="9" width="10" customWidth="1"/>
    <col min="10" max="10" width="13" customWidth="1"/>
    <col min="11" max="11" width="11" customWidth="1"/>
    <col min="12" max="12" width="10" customWidth="1"/>
    <col min="13" max="13" width="16" customWidth="1"/>
    <col min="14" max="14" width="13" customWidth="1"/>
    <col min="15" max="15" width="9" customWidth="1"/>
    <col min="16" max="16" width="3" customWidth="1"/>
    <col min="17" max="17" width="22" customWidth="1"/>
    <col min="18" max="18" width="12" customWidth="1"/>
  </cols>
  <sheetData>
    <row r="1" spans="1:15" ht="21.75" customHeight="1" x14ac:dyDescent="0.3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5" x14ac:dyDescent="0.3">
      <c r="N2" s="1" t="s">
        <v>44</v>
      </c>
      <c r="O2" s="9">
        <v>0.05</v>
      </c>
    </row>
    <row r="3" spans="1:15" ht="39.6" x14ac:dyDescent="0.3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</row>
    <row r="4" spans="1:15" x14ac:dyDescent="0.3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10">
        <v>550</v>
      </c>
      <c r="H4" s="4">
        <v>4</v>
      </c>
      <c r="I4" s="11">
        <f t="shared" ref="I4:I18" si="0">G4*H4</f>
        <v>2200</v>
      </c>
      <c r="J4" s="5" t="str">
        <f t="shared" ref="J4:J18" si="1">IF(G4&gt;=500,"10%",IF(G4&gt;=200,"5%","0%"))</f>
        <v>10%</v>
      </c>
      <c r="K4" s="5" t="str">
        <f t="shared" ref="K4:K18" si="2">IF(OR(H4&gt;=10,I4&gt;=1000),"Yes","No")</f>
        <v>Yes</v>
      </c>
      <c r="L4" s="11">
        <f t="shared" ref="L4:L18" si="3">I4*$O$2</f>
        <v>110</v>
      </c>
      <c r="M4" s="5" t="str">
        <f t="shared" ref="M4:M18" si="4">B4&amp;"|"&amp;F4</f>
        <v>Rohit Mehta|Jan</v>
      </c>
    </row>
    <row r="5" spans="1:15" x14ac:dyDescent="0.3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63</v>
      </c>
      <c r="G5" s="10">
        <v>15</v>
      </c>
      <c r="H5" s="4">
        <v>20</v>
      </c>
      <c r="I5" s="11">
        <f t="shared" si="0"/>
        <v>300</v>
      </c>
      <c r="J5" s="5" t="str">
        <f t="shared" si="1"/>
        <v>0%</v>
      </c>
      <c r="K5" s="5" t="str">
        <f t="shared" si="2"/>
        <v>Yes</v>
      </c>
      <c r="L5" s="11">
        <f t="shared" si="3"/>
        <v>15</v>
      </c>
      <c r="M5" s="5" t="str">
        <f t="shared" si="4"/>
        <v>Priya Nair|Jan</v>
      </c>
    </row>
    <row r="6" spans="1:15" x14ac:dyDescent="0.3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63</v>
      </c>
      <c r="G6" s="10">
        <v>45</v>
      </c>
      <c r="H6" s="4">
        <v>12</v>
      </c>
      <c r="I6" s="11">
        <f t="shared" si="0"/>
        <v>540</v>
      </c>
      <c r="J6" s="5" t="str">
        <f t="shared" si="1"/>
        <v>0%</v>
      </c>
      <c r="K6" s="5" t="str">
        <f t="shared" si="2"/>
        <v>Yes</v>
      </c>
      <c r="L6" s="11">
        <f t="shared" si="3"/>
        <v>27</v>
      </c>
      <c r="M6" s="5" t="str">
        <f t="shared" si="4"/>
        <v>Aman Khanna|Jan</v>
      </c>
    </row>
    <row r="7" spans="1:15" x14ac:dyDescent="0.3">
      <c r="A7" s="4" t="s">
        <v>74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63</v>
      </c>
      <c r="G7" s="10">
        <v>210</v>
      </c>
      <c r="H7" s="4">
        <v>6</v>
      </c>
      <c r="I7" s="11">
        <f t="shared" si="0"/>
        <v>1260</v>
      </c>
      <c r="J7" s="5" t="str">
        <f t="shared" si="1"/>
        <v>5%</v>
      </c>
      <c r="K7" s="5" t="str">
        <f t="shared" si="2"/>
        <v>Yes</v>
      </c>
      <c r="L7" s="11">
        <f t="shared" si="3"/>
        <v>63</v>
      </c>
      <c r="M7" s="5" t="str">
        <f t="shared" si="4"/>
        <v>Riya Patel|Jan</v>
      </c>
    </row>
    <row r="8" spans="1:15" x14ac:dyDescent="0.3">
      <c r="A8" s="4" t="s">
        <v>79</v>
      </c>
      <c r="B8" s="4" t="s">
        <v>80</v>
      </c>
      <c r="C8" s="4" t="s">
        <v>60</v>
      </c>
      <c r="D8" s="4" t="s">
        <v>81</v>
      </c>
      <c r="E8" s="4" t="s">
        <v>82</v>
      </c>
      <c r="F8" s="4" t="s">
        <v>63</v>
      </c>
      <c r="G8" s="10">
        <v>180</v>
      </c>
      <c r="H8" s="4">
        <v>3</v>
      </c>
      <c r="I8" s="11">
        <f t="shared" si="0"/>
        <v>540</v>
      </c>
      <c r="J8" s="5" t="str">
        <f t="shared" si="1"/>
        <v>0%</v>
      </c>
      <c r="K8" s="5" t="str">
        <f t="shared" si="2"/>
        <v>No</v>
      </c>
      <c r="L8" s="11">
        <f t="shared" si="3"/>
        <v>27</v>
      </c>
      <c r="M8" s="5" t="str">
        <f t="shared" si="4"/>
        <v>Suresh Iyer|Jan</v>
      </c>
    </row>
    <row r="9" spans="1:15" x14ac:dyDescent="0.3">
      <c r="A9" s="4" t="s">
        <v>83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84</v>
      </c>
      <c r="G9" s="10">
        <v>550</v>
      </c>
      <c r="H9" s="4">
        <v>7</v>
      </c>
      <c r="I9" s="11">
        <f t="shared" si="0"/>
        <v>3850</v>
      </c>
      <c r="J9" s="5" t="str">
        <f t="shared" si="1"/>
        <v>10%</v>
      </c>
      <c r="K9" s="5" t="str">
        <f t="shared" si="2"/>
        <v>Yes</v>
      </c>
      <c r="L9" s="11">
        <f t="shared" si="3"/>
        <v>192.5</v>
      </c>
      <c r="M9" s="5" t="str">
        <f t="shared" si="4"/>
        <v>Rohit Mehta|Feb</v>
      </c>
    </row>
    <row r="10" spans="1:15" x14ac:dyDescent="0.3">
      <c r="A10" s="4" t="s">
        <v>85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84</v>
      </c>
      <c r="G10" s="10">
        <v>15</v>
      </c>
      <c r="H10" s="4">
        <v>35</v>
      </c>
      <c r="I10" s="11">
        <f t="shared" si="0"/>
        <v>525</v>
      </c>
      <c r="J10" s="5" t="str">
        <f t="shared" si="1"/>
        <v>0%</v>
      </c>
      <c r="K10" s="5" t="str">
        <f t="shared" si="2"/>
        <v>Yes</v>
      </c>
      <c r="L10" s="11">
        <f t="shared" si="3"/>
        <v>26.25</v>
      </c>
      <c r="M10" s="5" t="str">
        <f t="shared" si="4"/>
        <v>Priya Nair|Feb</v>
      </c>
    </row>
    <row r="11" spans="1:15" x14ac:dyDescent="0.3">
      <c r="A11" s="4" t="s">
        <v>86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84</v>
      </c>
      <c r="G11" s="10">
        <v>45</v>
      </c>
      <c r="H11" s="4">
        <v>9</v>
      </c>
      <c r="I11" s="11">
        <f t="shared" si="0"/>
        <v>405</v>
      </c>
      <c r="J11" s="5" t="str">
        <f t="shared" si="1"/>
        <v>0%</v>
      </c>
      <c r="K11" s="5" t="str">
        <f t="shared" si="2"/>
        <v>No</v>
      </c>
      <c r="L11" s="11">
        <f t="shared" si="3"/>
        <v>20.25</v>
      </c>
      <c r="M11" s="5" t="str">
        <f t="shared" si="4"/>
        <v>Aman Khanna|Feb</v>
      </c>
    </row>
    <row r="12" spans="1:15" x14ac:dyDescent="0.3">
      <c r="A12" s="4" t="s">
        <v>87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84</v>
      </c>
      <c r="G12" s="10">
        <v>210</v>
      </c>
      <c r="H12" s="4">
        <v>10</v>
      </c>
      <c r="I12" s="11">
        <f t="shared" si="0"/>
        <v>2100</v>
      </c>
      <c r="J12" s="5" t="str">
        <f t="shared" si="1"/>
        <v>5%</v>
      </c>
      <c r="K12" s="5" t="str">
        <f t="shared" si="2"/>
        <v>Yes</v>
      </c>
      <c r="L12" s="11">
        <f t="shared" si="3"/>
        <v>105</v>
      </c>
      <c r="M12" s="5" t="str">
        <f t="shared" si="4"/>
        <v>Riya Patel|Feb</v>
      </c>
    </row>
    <row r="13" spans="1:15" x14ac:dyDescent="0.3">
      <c r="A13" s="4" t="s">
        <v>88</v>
      </c>
      <c r="B13" s="4" t="s">
        <v>80</v>
      </c>
      <c r="C13" s="4" t="s">
        <v>60</v>
      </c>
      <c r="D13" s="4" t="s">
        <v>81</v>
      </c>
      <c r="E13" s="4" t="s">
        <v>82</v>
      </c>
      <c r="F13" s="4" t="s">
        <v>84</v>
      </c>
      <c r="G13" s="10">
        <v>180</v>
      </c>
      <c r="H13" s="4">
        <v>5</v>
      </c>
      <c r="I13" s="11">
        <f t="shared" si="0"/>
        <v>900</v>
      </c>
      <c r="J13" s="5" t="str">
        <f t="shared" si="1"/>
        <v>0%</v>
      </c>
      <c r="K13" s="5" t="str">
        <f t="shared" si="2"/>
        <v>No</v>
      </c>
      <c r="L13" s="11">
        <f t="shared" si="3"/>
        <v>45</v>
      </c>
      <c r="M13" s="5" t="str">
        <f t="shared" si="4"/>
        <v>Suresh Iyer|Feb</v>
      </c>
    </row>
    <row r="14" spans="1:15" x14ac:dyDescent="0.3">
      <c r="A14" s="4" t="s">
        <v>89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90</v>
      </c>
      <c r="G14" s="10">
        <v>550</v>
      </c>
      <c r="H14" s="4">
        <v>5</v>
      </c>
      <c r="I14" s="11">
        <f t="shared" si="0"/>
        <v>2750</v>
      </c>
      <c r="J14" s="5" t="str">
        <f t="shared" si="1"/>
        <v>10%</v>
      </c>
      <c r="K14" s="5" t="str">
        <f t="shared" si="2"/>
        <v>Yes</v>
      </c>
      <c r="L14" s="11">
        <f t="shared" si="3"/>
        <v>137.5</v>
      </c>
      <c r="M14" s="5" t="str">
        <f t="shared" si="4"/>
        <v>Rohit Mehta|Mar</v>
      </c>
    </row>
    <row r="15" spans="1:15" x14ac:dyDescent="0.3">
      <c r="A15" s="4" t="s">
        <v>91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90</v>
      </c>
      <c r="G15" s="10">
        <v>15</v>
      </c>
      <c r="H15" s="4">
        <v>18</v>
      </c>
      <c r="I15" s="11">
        <f t="shared" si="0"/>
        <v>270</v>
      </c>
      <c r="J15" s="5" t="str">
        <f t="shared" si="1"/>
        <v>0%</v>
      </c>
      <c r="K15" s="5" t="str">
        <f t="shared" si="2"/>
        <v>Yes</v>
      </c>
      <c r="L15" s="11">
        <f t="shared" si="3"/>
        <v>13.5</v>
      </c>
      <c r="M15" s="5" t="str">
        <f t="shared" si="4"/>
        <v>Priya Nair|Mar</v>
      </c>
    </row>
    <row r="16" spans="1:15" x14ac:dyDescent="0.3">
      <c r="A16" s="4" t="s">
        <v>92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90</v>
      </c>
      <c r="G16" s="10">
        <v>45</v>
      </c>
      <c r="H16" s="4">
        <v>14</v>
      </c>
      <c r="I16" s="11">
        <f t="shared" si="0"/>
        <v>630</v>
      </c>
      <c r="J16" s="5" t="str">
        <f t="shared" si="1"/>
        <v>0%</v>
      </c>
      <c r="K16" s="5" t="str">
        <f t="shared" si="2"/>
        <v>Yes</v>
      </c>
      <c r="L16" s="11">
        <f t="shared" si="3"/>
        <v>31.5</v>
      </c>
      <c r="M16" s="5" t="str">
        <f t="shared" si="4"/>
        <v>Aman Khanna|Mar</v>
      </c>
    </row>
    <row r="17" spans="1:18" x14ac:dyDescent="0.3">
      <c r="A17" s="4" t="s">
        <v>93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90</v>
      </c>
      <c r="G17" s="10">
        <v>210</v>
      </c>
      <c r="H17" s="4">
        <v>8</v>
      </c>
      <c r="I17" s="11">
        <f t="shared" si="0"/>
        <v>1680</v>
      </c>
      <c r="J17" s="5" t="str">
        <f t="shared" si="1"/>
        <v>5%</v>
      </c>
      <c r="K17" s="5" t="str">
        <f t="shared" si="2"/>
        <v>Yes</v>
      </c>
      <c r="L17" s="11">
        <f t="shared" si="3"/>
        <v>84</v>
      </c>
      <c r="M17" s="5" t="str">
        <f t="shared" si="4"/>
        <v>Riya Patel|Mar</v>
      </c>
    </row>
    <row r="18" spans="1:18" x14ac:dyDescent="0.3">
      <c r="A18" s="4" t="s">
        <v>94</v>
      </c>
      <c r="B18" s="4" t="s">
        <v>80</v>
      </c>
      <c r="C18" s="4" t="s">
        <v>60</v>
      </c>
      <c r="D18" s="4" t="s">
        <v>81</v>
      </c>
      <c r="E18" s="4" t="s">
        <v>82</v>
      </c>
      <c r="F18" s="4" t="s">
        <v>90</v>
      </c>
      <c r="G18" s="10">
        <v>180</v>
      </c>
      <c r="H18" s="4">
        <v>11</v>
      </c>
      <c r="I18" s="11">
        <f t="shared" si="0"/>
        <v>1980</v>
      </c>
      <c r="J18" s="5" t="str">
        <f t="shared" si="1"/>
        <v>0%</v>
      </c>
      <c r="K18" s="5" t="str">
        <f t="shared" si="2"/>
        <v>Yes</v>
      </c>
      <c r="L18" s="11">
        <f t="shared" si="3"/>
        <v>99</v>
      </c>
      <c r="M18" s="5" t="str">
        <f t="shared" si="4"/>
        <v>Suresh Iyer|Mar</v>
      </c>
    </row>
    <row r="21" spans="1:18" x14ac:dyDescent="0.3">
      <c r="A21" s="6" t="s">
        <v>95</v>
      </c>
    </row>
    <row r="22" spans="1:18" x14ac:dyDescent="0.3">
      <c r="A22" s="1" t="s">
        <v>96</v>
      </c>
      <c r="B22" s="2" t="s">
        <v>60</v>
      </c>
      <c r="C22" s="1" t="s">
        <v>97</v>
      </c>
      <c r="D22" s="2" t="s">
        <v>61</v>
      </c>
    </row>
    <row r="23" spans="1:18" x14ac:dyDescent="0.3">
      <c r="A23" s="1" t="s">
        <v>98</v>
      </c>
      <c r="B23" s="11">
        <f>SUMIFS(I4:I18,C4:C18,B22,D4:D18,D22)</f>
        <v>8800</v>
      </c>
    </row>
    <row r="25" spans="1:18" x14ac:dyDescent="0.3">
      <c r="A25" s="6" t="s">
        <v>99</v>
      </c>
      <c r="N25" s="8" t="s">
        <v>49</v>
      </c>
      <c r="O25" s="8" t="s">
        <v>51</v>
      </c>
    </row>
    <row r="26" spans="1:18" x14ac:dyDescent="0.3">
      <c r="N26" s="4" t="s">
        <v>62</v>
      </c>
      <c r="O26" s="10">
        <v>550</v>
      </c>
      <c r="Q26" s="1" t="s">
        <v>100</v>
      </c>
      <c r="R26" s="2" t="s">
        <v>68</v>
      </c>
    </row>
    <row r="27" spans="1:18" x14ac:dyDescent="0.3">
      <c r="N27" s="4" t="s">
        <v>68</v>
      </c>
      <c r="O27" s="10">
        <v>15</v>
      </c>
      <c r="Q27" s="1" t="s">
        <v>101</v>
      </c>
      <c r="R27" s="11">
        <f>VLOOKUP(R26,N26:O30,2,FALSE())</f>
        <v>15</v>
      </c>
    </row>
    <row r="28" spans="1:18" x14ac:dyDescent="0.3">
      <c r="N28" s="4" t="s">
        <v>73</v>
      </c>
      <c r="O28" s="10">
        <v>45</v>
      </c>
    </row>
    <row r="29" spans="1:18" x14ac:dyDescent="0.3">
      <c r="N29" s="4" t="s">
        <v>78</v>
      </c>
      <c r="O29" s="10">
        <v>210</v>
      </c>
    </row>
    <row r="30" spans="1:18" x14ac:dyDescent="0.3">
      <c r="N30" s="4" t="s">
        <v>82</v>
      </c>
      <c r="O30" s="10">
        <v>180</v>
      </c>
    </row>
    <row r="33" spans="1:5" x14ac:dyDescent="0.3">
      <c r="A33" s="6" t="s">
        <v>102</v>
      </c>
    </row>
    <row r="34" spans="1:5" x14ac:dyDescent="0.3">
      <c r="A34" s="1" t="s">
        <v>103</v>
      </c>
      <c r="C34" s="2" t="s">
        <v>75</v>
      </c>
      <c r="D34" s="1" t="s">
        <v>104</v>
      </c>
      <c r="E34" s="2" t="s">
        <v>84</v>
      </c>
    </row>
    <row r="35" spans="1:5" x14ac:dyDescent="0.3">
      <c r="A35" s="1" t="s">
        <v>105</v>
      </c>
      <c r="B35" s="11">
        <f>INDEX(I4:I18,MATCH(C34&amp;"|"&amp;E34,M4:M18,0))</f>
        <v>2100</v>
      </c>
    </row>
    <row r="37" spans="1:5" x14ac:dyDescent="0.3">
      <c r="A37" s="6" t="s">
        <v>106</v>
      </c>
    </row>
    <row r="38" spans="1:5" x14ac:dyDescent="0.3">
      <c r="A38" s="1" t="s">
        <v>107</v>
      </c>
      <c r="B38" s="11">
        <f>INDEX(I4:I18,MATCH(C34,B4:B18,0))</f>
        <v>1260</v>
      </c>
    </row>
    <row r="40" spans="1:5" x14ac:dyDescent="0.3">
      <c r="A40" s="6" t="s">
        <v>108</v>
      </c>
    </row>
    <row r="41" spans="1:5" x14ac:dyDescent="0.3">
      <c r="A41" s="1" t="s">
        <v>109</v>
      </c>
      <c r="B41" s="5">
        <f>MATCH(D22,D4:D18,0)</f>
        <v>1</v>
      </c>
    </row>
    <row r="43" spans="1:5" x14ac:dyDescent="0.3">
      <c r="A43" s="6" t="s">
        <v>110</v>
      </c>
    </row>
    <row r="44" spans="1:5" x14ac:dyDescent="0.3">
      <c r="A44" s="1" t="s">
        <v>111</v>
      </c>
      <c r="B44" s="2" t="s">
        <v>112</v>
      </c>
    </row>
    <row r="45" spans="1:5" x14ac:dyDescent="0.3">
      <c r="A45" s="1" t="s">
        <v>113</v>
      </c>
      <c r="B45" s="11">
        <f ca="1">SUM(INDIRECT(B44))</f>
        <v>19930</v>
      </c>
    </row>
    <row r="47" spans="1:5" x14ac:dyDescent="0.3">
      <c r="A47" s="6" t="s">
        <v>114</v>
      </c>
    </row>
    <row r="48" spans="1:5" x14ac:dyDescent="0.3">
      <c r="A48" s="1" t="s">
        <v>115</v>
      </c>
      <c r="B48" s="2">
        <v>3</v>
      </c>
    </row>
    <row r="49" spans="1:4" x14ac:dyDescent="0.3">
      <c r="A49" s="1" t="s">
        <v>116</v>
      </c>
      <c r="B49" s="11">
        <f ca="1">SUM(OFFSET($I$4,0,0,B48,1))</f>
        <v>3040</v>
      </c>
    </row>
    <row r="51" spans="1:4" x14ac:dyDescent="0.3">
      <c r="A51" s="6" t="s">
        <v>117</v>
      </c>
    </row>
    <row r="52" spans="1:4" x14ac:dyDescent="0.3">
      <c r="A52" s="8" t="s">
        <v>118</v>
      </c>
      <c r="B52" s="8" t="s">
        <v>119</v>
      </c>
      <c r="C52" s="8" t="s">
        <v>120</v>
      </c>
      <c r="D52" s="8" t="s">
        <v>121</v>
      </c>
    </row>
    <row r="53" spans="1:4" x14ac:dyDescent="0.3">
      <c r="A53" s="11">
        <f>I4</f>
        <v>2200</v>
      </c>
      <c r="B53" s="11">
        <f>ROUND(I4,-2)</f>
        <v>2200</v>
      </c>
      <c r="C53" s="11">
        <f>CEILING(I4,50)</f>
        <v>2200</v>
      </c>
      <c r="D53" s="11">
        <f>FLOOR(I4,50)</f>
        <v>2200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29"/>
  <sheetViews>
    <sheetView tabSelected="1" zoomScaleNormal="100" workbookViewId="0">
      <pane ySplit="3" topLeftCell="A31" activePane="bottomLeft" state="frozen"/>
      <selection pane="bottomLeft" activeCell="B28" sqref="B28"/>
    </sheetView>
  </sheetViews>
  <sheetFormatPr defaultColWidth="8.6640625" defaultRowHeight="14.4" x14ac:dyDescent="0.3"/>
  <cols>
    <col min="1" max="1" width="8" customWidth="1"/>
    <col min="2" max="2" width="16" customWidth="1"/>
    <col min="3" max="4" width="13" customWidth="1"/>
    <col min="5" max="5" width="15" customWidth="1"/>
    <col min="6" max="6" width="12" customWidth="1"/>
    <col min="7" max="7" width="7" customWidth="1"/>
    <col min="8" max="8" width="18" customWidth="1"/>
  </cols>
  <sheetData>
    <row r="1" spans="1:8" ht="21.75" customHeight="1" x14ac:dyDescent="0.3">
      <c r="A1" s="14" t="s">
        <v>122</v>
      </c>
      <c r="B1" s="14"/>
      <c r="C1" s="14"/>
      <c r="D1" s="14"/>
      <c r="E1" s="14"/>
      <c r="F1" s="14"/>
      <c r="G1" s="14"/>
      <c r="H1" s="14"/>
    </row>
    <row r="3" spans="1:8" ht="26.4" x14ac:dyDescent="0.3">
      <c r="A3" s="3" t="s">
        <v>123</v>
      </c>
      <c r="B3" s="3" t="s">
        <v>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129</v>
      </c>
    </row>
    <row r="4" spans="1:8" x14ac:dyDescent="0.3">
      <c r="A4" s="4" t="s">
        <v>130</v>
      </c>
      <c r="B4" s="4" t="s">
        <v>131</v>
      </c>
      <c r="C4" s="4" t="s">
        <v>132</v>
      </c>
      <c r="D4" s="12">
        <v>32975</v>
      </c>
      <c r="E4" s="12">
        <v>43252</v>
      </c>
      <c r="F4" s="10">
        <v>65000</v>
      </c>
      <c r="G4" s="5">
        <f t="shared" ref="G4:G13" ca="1" si="0">DATEDIF(D4,TODAY(),"Y")</f>
        <v>36</v>
      </c>
      <c r="H4" s="5">
        <f t="shared" ref="H4:H13" ca="1" si="1">TODAY()-E4</f>
        <v>3011</v>
      </c>
    </row>
    <row r="5" spans="1:8" x14ac:dyDescent="0.3">
      <c r="A5" s="4" t="s">
        <v>133</v>
      </c>
      <c r="B5" s="4" t="s">
        <v>134</v>
      </c>
      <c r="C5" s="4" t="s">
        <v>135</v>
      </c>
      <c r="D5" s="12">
        <v>32450</v>
      </c>
      <c r="E5" s="12">
        <v>42262</v>
      </c>
      <c r="F5" s="10">
        <v>82000</v>
      </c>
      <c r="G5" s="5">
        <f t="shared" ca="1" si="0"/>
        <v>37</v>
      </c>
      <c r="H5" s="5">
        <f t="shared" ca="1" si="1"/>
        <v>4001</v>
      </c>
    </row>
    <row r="6" spans="1:8" x14ac:dyDescent="0.3">
      <c r="A6" s="4" t="s">
        <v>136</v>
      </c>
      <c r="B6" s="4" t="s">
        <v>137</v>
      </c>
      <c r="C6" s="4" t="s">
        <v>138</v>
      </c>
      <c r="D6" s="12">
        <v>34020</v>
      </c>
      <c r="E6" s="12">
        <v>43840</v>
      </c>
      <c r="F6" s="10">
        <v>54000</v>
      </c>
      <c r="G6" s="5">
        <f t="shared" ca="1" si="0"/>
        <v>33</v>
      </c>
      <c r="H6" s="5">
        <f t="shared" ca="1" si="1"/>
        <v>2423</v>
      </c>
    </row>
    <row r="7" spans="1:8" x14ac:dyDescent="0.3">
      <c r="A7" s="4" t="s">
        <v>139</v>
      </c>
      <c r="B7" s="4" t="s">
        <v>140</v>
      </c>
      <c r="C7" s="4" t="s">
        <v>141</v>
      </c>
      <c r="D7" s="12">
        <v>31236</v>
      </c>
      <c r="E7" s="12">
        <v>40990</v>
      </c>
      <c r="F7" s="10">
        <v>91000</v>
      </c>
      <c r="G7" s="5">
        <f t="shared" ca="1" si="0"/>
        <v>41</v>
      </c>
      <c r="H7" s="5">
        <f t="shared" ca="1" si="1"/>
        <v>5273</v>
      </c>
    </row>
    <row r="8" spans="1:8" x14ac:dyDescent="0.3">
      <c r="A8" s="4" t="s">
        <v>142</v>
      </c>
      <c r="B8" s="4" t="s">
        <v>143</v>
      </c>
      <c r="C8" s="4" t="s">
        <v>135</v>
      </c>
      <c r="D8" s="12">
        <v>35338</v>
      </c>
      <c r="E8" s="12">
        <v>44378</v>
      </c>
      <c r="F8" s="10">
        <v>60000</v>
      </c>
      <c r="G8" s="5">
        <f t="shared" ca="1" si="0"/>
        <v>29</v>
      </c>
      <c r="H8" s="5">
        <f t="shared" ca="1" si="1"/>
        <v>1885</v>
      </c>
    </row>
    <row r="9" spans="1:8" x14ac:dyDescent="0.3">
      <c r="A9" s="4" t="s">
        <v>144</v>
      </c>
      <c r="B9" s="4" t="s">
        <v>145</v>
      </c>
      <c r="C9" s="4" t="s">
        <v>132</v>
      </c>
      <c r="D9" s="12">
        <v>33589</v>
      </c>
      <c r="E9" s="12">
        <v>43044</v>
      </c>
      <c r="F9" s="10">
        <v>71000</v>
      </c>
      <c r="G9" s="5">
        <f t="shared" ca="1" si="0"/>
        <v>34</v>
      </c>
      <c r="H9" s="5">
        <f t="shared" ca="1" si="1"/>
        <v>3219</v>
      </c>
    </row>
    <row r="10" spans="1:8" x14ac:dyDescent="0.3">
      <c r="A10" s="4" t="s">
        <v>146</v>
      </c>
      <c r="B10" s="4" t="s">
        <v>147</v>
      </c>
      <c r="C10" s="4" t="s">
        <v>148</v>
      </c>
      <c r="D10" s="12">
        <v>34479</v>
      </c>
      <c r="E10" s="12">
        <v>43573</v>
      </c>
      <c r="F10" s="10">
        <v>58000</v>
      </c>
      <c r="G10" s="5">
        <f t="shared" ca="1" si="0"/>
        <v>32</v>
      </c>
      <c r="H10" s="5">
        <f t="shared" ca="1" si="1"/>
        <v>2690</v>
      </c>
    </row>
    <row r="11" spans="1:8" x14ac:dyDescent="0.3">
      <c r="A11" s="4" t="s">
        <v>149</v>
      </c>
      <c r="B11" s="4" t="s">
        <v>150</v>
      </c>
      <c r="C11" s="4" t="s">
        <v>141</v>
      </c>
      <c r="D11" s="12">
        <v>31850</v>
      </c>
      <c r="E11" s="12">
        <v>41495</v>
      </c>
      <c r="F11" s="10">
        <v>87000</v>
      </c>
      <c r="G11" s="5">
        <f t="shared" ca="1" si="0"/>
        <v>39</v>
      </c>
      <c r="H11" s="5">
        <f t="shared" ca="1" si="1"/>
        <v>4768</v>
      </c>
    </row>
    <row r="12" spans="1:8" x14ac:dyDescent="0.3">
      <c r="A12" s="4" t="s">
        <v>151</v>
      </c>
      <c r="B12" s="4" t="s">
        <v>152</v>
      </c>
      <c r="C12" s="4" t="s">
        <v>138</v>
      </c>
      <c r="D12" s="12">
        <v>34974</v>
      </c>
      <c r="E12" s="12">
        <v>44606</v>
      </c>
      <c r="F12" s="10">
        <v>52000</v>
      </c>
      <c r="G12" s="5">
        <f t="shared" ca="1" si="0"/>
        <v>30</v>
      </c>
      <c r="H12" s="5">
        <f t="shared" ca="1" si="1"/>
        <v>1657</v>
      </c>
    </row>
    <row r="13" spans="1:8" x14ac:dyDescent="0.3">
      <c r="A13" s="4" t="s">
        <v>153</v>
      </c>
      <c r="B13" s="4" t="s">
        <v>154</v>
      </c>
      <c r="C13" s="4" t="s">
        <v>135</v>
      </c>
      <c r="D13" s="12">
        <v>33774</v>
      </c>
      <c r="E13" s="12">
        <v>42646</v>
      </c>
      <c r="F13" s="10">
        <v>78000</v>
      </c>
      <c r="G13" s="5">
        <f t="shared" ca="1" si="0"/>
        <v>34</v>
      </c>
      <c r="H13" s="5">
        <f t="shared" ca="1" si="1"/>
        <v>3617</v>
      </c>
    </row>
    <row r="16" spans="1:8" x14ac:dyDescent="0.3">
      <c r="A16" s="6" t="s">
        <v>155</v>
      </c>
    </row>
    <row r="17" spans="1:4" x14ac:dyDescent="0.3">
      <c r="A17" s="1" t="s">
        <v>156</v>
      </c>
      <c r="B17" s="2" t="s">
        <v>142</v>
      </c>
    </row>
    <row r="18" spans="1:4" x14ac:dyDescent="0.3">
      <c r="A18" s="1" t="s">
        <v>157</v>
      </c>
      <c r="B18" s="5" t="str">
        <f>INDEX(B4:B13,MATCH(B17,A4:A13,0))</f>
        <v>Simran Kaur</v>
      </c>
    </row>
    <row r="19" spans="1:4" x14ac:dyDescent="0.3">
      <c r="A19" s="1" t="s">
        <v>158</v>
      </c>
      <c r="B19" s="5" t="str">
        <f>INDEX(C4:C13,MATCH(B17,A4:A13,0))</f>
        <v>IT</v>
      </c>
    </row>
    <row r="20" spans="1:4" x14ac:dyDescent="0.3">
      <c r="A20" s="1" t="s">
        <v>159</v>
      </c>
      <c r="B20" s="11">
        <f>INDEX(F4:F13,MATCH(B17,A4:A13,0))</f>
        <v>60000</v>
      </c>
    </row>
    <row r="22" spans="1:4" x14ac:dyDescent="0.3">
      <c r="A22" s="6" t="s">
        <v>160</v>
      </c>
    </row>
    <row r="23" spans="1:4" x14ac:dyDescent="0.3">
      <c r="A23" s="1" t="s">
        <v>161</v>
      </c>
      <c r="B23" s="11">
        <f>INDEX(F4:F13,MATCH(B17,A4:A13,0))</f>
        <v>60000</v>
      </c>
    </row>
    <row r="25" spans="1:4" x14ac:dyDescent="0.3">
      <c r="A25" s="6" t="s">
        <v>162</v>
      </c>
    </row>
    <row r="27" spans="1:4" x14ac:dyDescent="0.3">
      <c r="A27" s="6" t="s">
        <v>163</v>
      </c>
    </row>
    <row r="28" spans="1:4" x14ac:dyDescent="0.3">
      <c r="A28" s="1" t="s">
        <v>164</v>
      </c>
      <c r="B28" s="13">
        <v>45292</v>
      </c>
      <c r="C28" s="1" t="s">
        <v>165</v>
      </c>
      <c r="D28" s="13">
        <v>46263</v>
      </c>
    </row>
    <row r="29" spans="1:4" x14ac:dyDescent="0.3">
      <c r="A29" s="1" t="s">
        <v>166</v>
      </c>
      <c r="B29" s="5">
        <f>D28-B28</f>
        <v>971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Sales_Data</vt:lpstr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digant jasani</cp:lastModifiedBy>
  <cp:revision>0</cp:revision>
  <dcterms:created xsi:type="dcterms:W3CDTF">2026-08-29T07:00:40Z</dcterms:created>
  <dcterms:modified xsi:type="dcterms:W3CDTF">2026-08-29T10:48:54Z</dcterms:modified>
  <dc:language>en-US</dc:language>
</cp:coreProperties>
</file>